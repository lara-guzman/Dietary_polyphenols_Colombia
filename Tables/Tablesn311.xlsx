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able 1" sheetId="3" r:id="rId1"/>
    <sheet name="Table 2" sheetId="1" r:id="rId2"/>
    <sheet name="Table 3" sheetId="2" state="hidden" r:id="rId3"/>
    <sheet name="Table 3 (2)" sheetId="5" r:id="rId4"/>
    <sheet name="Table 4" sheetId="4" state="hidden" r:id="rId5"/>
    <sheet name="Table 4 (2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<sst xmlns="http://schemas.openxmlformats.org/spreadsheetml/2006/main" count="2095" uniqueCount="1313">
  <si>
    <t>Median</t>
  </si>
  <si>
    <t>IQR</t>
  </si>
  <si>
    <t>Reference Range</t>
  </si>
  <si>
    <t>Individuals Outside</t>
  </si>
  <si>
    <r>
      <rPr>
        <sz val="10"/>
        <color rgb="FF000000"/>
        <rFont val="Times New Roman"/>
        <charset val="134"/>
      </rPr>
      <t>BMI (kg/m</t>
    </r>
    <r>
      <rPr>
        <vertAlign val="superscript"/>
        <sz val="10"/>
        <color rgb="FF000000"/>
        <rFont val="Times New Roman"/>
        <charset val="134"/>
      </rPr>
      <t>2</t>
    </r>
    <r>
      <rPr>
        <sz val="10"/>
        <color rgb="FF000000"/>
        <rFont val="Times New Roman"/>
        <charset val="134"/>
      </rPr>
      <t>)</t>
    </r>
  </si>
  <si>
    <t>26.99</t>
  </si>
  <si>
    <t>24.13; 30.41</t>
  </si>
  <si>
    <r>
      <rPr>
        <sz val="10"/>
        <color rgb="FF000000"/>
        <rFont val="Times New Roman"/>
        <charset val="134"/>
      </rPr>
      <t>18.5-25 kg/m</t>
    </r>
    <r>
      <rPr>
        <vertAlign val="superscript"/>
        <sz val="10"/>
        <color rgb="FF000000"/>
        <rFont val="Times New Roman"/>
        <charset val="134"/>
      </rPr>
      <t>2</t>
    </r>
  </si>
  <si>
    <t>207 (66.6%)</t>
  </si>
  <si>
    <t>Waist Circumference (cm)</t>
  </si>
  <si>
    <t>91.40</t>
  </si>
  <si>
    <t>82.10; 100.60</t>
  </si>
  <si>
    <t>&lt;92 cm male, &lt;84 cm female</t>
  </si>
  <si>
    <t>188 (60.5%)</t>
  </si>
  <si>
    <t>RFM (%)</t>
  </si>
  <si>
    <t>33.78</t>
  </si>
  <si>
    <t>28.51; 39.24</t>
  </si>
  <si>
    <t>&lt; 33.9% male,&lt; 22.8% female</t>
  </si>
  <si>
    <t>244 (78.5%)</t>
  </si>
  <si>
    <t>ApoB</t>
  </si>
  <si>
    <t>92.90</t>
  </si>
  <si>
    <t>76.90; 109.0</t>
  </si>
  <si>
    <t>130 mg/dL</t>
  </si>
  <si>
    <t>27 (8.7%)</t>
  </si>
  <si>
    <t>HDL (mg/dL)</t>
  </si>
  <si>
    <r>
      <rPr>
        <sz val="10"/>
        <color rgb="FF000000"/>
        <rFont val="Times New Roman"/>
        <charset val="134"/>
      </rPr>
      <t>4</t>
    </r>
    <r>
      <rPr>
        <sz val="10"/>
        <color theme="1"/>
        <rFont val="Times New Roman"/>
        <charset val="134"/>
      </rPr>
      <t>4.0</t>
    </r>
  </si>
  <si>
    <t>37.0; 53.0</t>
  </si>
  <si>
    <t>&gt; 40 male, &gt; 50 female</t>
  </si>
  <si>
    <t>161 (51.8%)</t>
  </si>
  <si>
    <t>VLDL (mg/dL)</t>
  </si>
  <si>
    <t>24.80</t>
  </si>
  <si>
    <t>17.2; 35.0</t>
  </si>
  <si>
    <t>&lt; 30 mg/dL</t>
  </si>
  <si>
    <t>118 (37.9%)</t>
  </si>
  <si>
    <t>LDL (mg/dL)</t>
  </si>
  <si>
    <r>
      <rPr>
        <sz val="10"/>
        <color rgb="FF000000"/>
        <rFont val="Times New Roman"/>
        <charset val="134"/>
      </rPr>
      <t>11</t>
    </r>
    <r>
      <rPr>
        <sz val="10"/>
        <color theme="1"/>
        <rFont val="Times New Roman"/>
        <charset val="134"/>
      </rPr>
      <t>2.0</t>
    </r>
  </si>
  <si>
    <t>93.0;135.0</t>
  </si>
  <si>
    <t>&lt;100 mg/dL</t>
  </si>
  <si>
    <t>212 (68.2%)</t>
  </si>
  <si>
    <t>TC (mg/dL)</t>
  </si>
  <si>
    <t>185.0</t>
  </si>
  <si>
    <t>164.0; 209.0</t>
  </si>
  <si>
    <t>&lt;200 mg/dL</t>
  </si>
  <si>
    <t>105 (33.8%)</t>
  </si>
  <si>
    <t>TG (mg/dL)</t>
  </si>
  <si>
    <t>124.0</t>
  </si>
  <si>
    <t>86.0; 175.0</t>
  </si>
  <si>
    <t>&lt;150 mg/dL</t>
  </si>
  <si>
    <t>114 (36.7%)</t>
  </si>
  <si>
    <t>Atherogenic index</t>
  </si>
  <si>
    <t>4.09</t>
  </si>
  <si>
    <t>3.33; 5.23</t>
  </si>
  <si>
    <t>&lt; 4.5</t>
  </si>
  <si>
    <t>132 (42.4%)</t>
  </si>
  <si>
    <t>Systolic BP (mm Hg)</t>
  </si>
  <si>
    <r>
      <rPr>
        <sz val="10"/>
        <color rgb="FF000000"/>
        <rFont val="Times New Roman"/>
        <charset val="134"/>
      </rPr>
      <t>12</t>
    </r>
    <r>
      <rPr>
        <sz val="10"/>
        <color theme="1"/>
        <rFont val="Times New Roman"/>
        <charset val="134"/>
      </rPr>
      <t>2.0</t>
    </r>
  </si>
  <si>
    <t>110.0; 135.0</t>
  </si>
  <si>
    <t>&lt;120</t>
  </si>
  <si>
    <t>175 (56.3%)</t>
  </si>
  <si>
    <t>Diastolic BP (mm Hg)</t>
  </si>
  <si>
    <r>
      <rPr>
        <sz val="10"/>
        <color rgb="FF000000"/>
        <rFont val="Times New Roman"/>
        <charset val="134"/>
      </rPr>
      <t>79.</t>
    </r>
    <r>
      <rPr>
        <sz val="10"/>
        <color theme="1"/>
        <rFont val="Times New Roman"/>
        <charset val="134"/>
      </rPr>
      <t>0</t>
    </r>
  </si>
  <si>
    <t>71.0; 87.0</t>
  </si>
  <si>
    <t>&lt;80</t>
  </si>
  <si>
    <t>153 (49.2%)</t>
  </si>
  <si>
    <t>Glucose (mg/dL)</t>
  </si>
  <si>
    <t>86.0</t>
  </si>
  <si>
    <t>80.0; 92.0</t>
  </si>
  <si>
    <r>
      <rPr>
        <sz val="10"/>
        <color rgb="FF000000"/>
        <rFont val="Times New Roman"/>
        <charset val="134"/>
      </rPr>
      <t xml:space="preserve">&lt;100 </t>
    </r>
    <r>
      <rPr>
        <sz val="10"/>
        <color theme="1"/>
        <rFont val="Times New Roman"/>
        <charset val="134"/>
      </rPr>
      <t>mg</t>
    </r>
    <r>
      <rPr>
        <sz val="10"/>
        <color rgb="FF000000"/>
        <rFont val="Times New Roman"/>
        <charset val="134"/>
      </rPr>
      <t>l/dL</t>
    </r>
  </si>
  <si>
    <t>25 (8.0%)</t>
  </si>
  <si>
    <t>Insulin (µU/ml)</t>
  </si>
  <si>
    <t>10.89</t>
  </si>
  <si>
    <t>7.53;16.80</t>
  </si>
  <si>
    <t>&lt; 15 µU/ml</t>
  </si>
  <si>
    <t>97 (31.2%)</t>
  </si>
  <si>
    <t>HOMA-IR</t>
  </si>
  <si>
    <t>2.23</t>
  </si>
  <si>
    <t>1.59; 3.73</t>
  </si>
  <si>
    <t>&lt;2.60</t>
  </si>
  <si>
    <t>127 (40.8%)</t>
  </si>
  <si>
    <t>HbA1c (%)</t>
  </si>
  <si>
    <r>
      <rPr>
        <sz val="10"/>
        <color rgb="FF000000"/>
        <rFont val="Times New Roman"/>
        <charset val="134"/>
      </rPr>
      <t>5.</t>
    </r>
    <r>
      <rPr>
        <sz val="10"/>
        <color theme="1"/>
        <rFont val="Times New Roman"/>
        <charset val="134"/>
      </rPr>
      <t>50</t>
    </r>
  </si>
  <si>
    <t>5.20;5.70</t>
  </si>
  <si>
    <r>
      <rPr>
        <sz val="10"/>
        <color rgb="FF000000"/>
        <rFont val="Times New Roman"/>
        <charset val="134"/>
      </rPr>
      <t>&lt;6</t>
    </r>
    <r>
      <rPr>
        <sz val="10"/>
        <color theme="1"/>
        <rFont val="Times New Roman"/>
        <charset val="134"/>
      </rPr>
      <t>.0</t>
    </r>
  </si>
  <si>
    <t>34 (10.9%)</t>
  </si>
  <si>
    <t>hs-PCR (mg/L)</t>
  </si>
  <si>
    <t>1.90</t>
  </si>
  <si>
    <t>1.04; 3.50</t>
  </si>
  <si>
    <r>
      <rPr>
        <sz val="10"/>
        <color rgb="FF000000"/>
        <rFont val="Times New Roman"/>
        <charset val="134"/>
      </rPr>
      <t>&lt;3</t>
    </r>
    <r>
      <rPr>
        <sz val="10"/>
        <color theme="1"/>
        <rFont val="Times New Roman"/>
        <charset val="134"/>
      </rPr>
      <t>.0</t>
    </r>
  </si>
  <si>
    <r>
      <rPr>
        <sz val="10"/>
        <color rgb="FF000000"/>
        <rFont val="Times New Roman"/>
        <charset val="134"/>
      </rPr>
      <t>97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(31.2%)</t>
    </r>
  </si>
  <si>
    <t>Leptin</t>
  </si>
  <si>
    <t>5.39</t>
  </si>
  <si>
    <t>2.22; 9.75</t>
  </si>
  <si>
    <t>-</t>
  </si>
  <si>
    <t>Adiponectin</t>
  </si>
  <si>
    <t>5.95</t>
  </si>
  <si>
    <t>3.97; 8.28</t>
  </si>
  <si>
    <t>Leptin/adiponectin</t>
  </si>
  <si>
    <t>0.84</t>
  </si>
  <si>
    <t>0.40; 1.63</t>
  </si>
  <si>
    <r>
      <rPr>
        <sz val="10"/>
        <color rgb="FF000000"/>
        <rFont val="Times New Roman"/>
        <charset val="134"/>
      </rPr>
      <t>&lt;1</t>
    </r>
    <r>
      <rPr>
        <sz val="10"/>
        <color theme="1"/>
        <rFont val="Times New Roman"/>
        <charset val="134"/>
      </rPr>
      <t>.0</t>
    </r>
  </si>
  <si>
    <t>129 (41.5%)</t>
  </si>
  <si>
    <t>n</t>
  </si>
  <si>
    <t>Mean</t>
  </si>
  <si>
    <t>SD</t>
  </si>
  <si>
    <t>Percentile 25; 75</t>
  </si>
  <si>
    <t>95% CI median</t>
  </si>
  <si>
    <t>p-value*</t>
  </si>
  <si>
    <t>E-DII score</t>
  </si>
  <si>
    <t>Lower 95% CI</t>
  </si>
  <si>
    <t>Upper 95% CI</t>
  </si>
  <si>
    <t>Polyphenols intake (mg/day) by  Folin</t>
  </si>
  <si>
    <t>Total</t>
  </si>
  <si>
    <t>961.0</t>
  </si>
  <si>
    <t>656.8; 1551.0</t>
  </si>
  <si>
    <t>862.3; 1071.0</t>
  </si>
  <si>
    <t>_</t>
  </si>
  <si>
    <t>Sex</t>
  </si>
  <si>
    <t>Female</t>
  </si>
  <si>
    <t>973.6</t>
  </si>
  <si>
    <t>661.5; 1480.0</t>
  </si>
  <si>
    <t>798.2; 1119.6</t>
  </si>
  <si>
    <t>0.452</t>
  </si>
  <si>
    <t>&lt;0.000</t>
  </si>
  <si>
    <t>Male</t>
  </si>
  <si>
    <t>957.8</t>
  </si>
  <si>
    <t>644.1; 1596.5</t>
  </si>
  <si>
    <t>850.1; 1148.2</t>
  </si>
  <si>
    <t>Age range (years)</t>
  </si>
  <si>
    <t>18-40</t>
  </si>
  <si>
    <t>883.4</t>
  </si>
  <si>
    <t>539.0; 1480.1</t>
  </si>
  <si>
    <t>784.8; 1078.9</t>
  </si>
  <si>
    <t>0.057</t>
  </si>
  <si>
    <r>
      <rPr>
        <b/>
        <i/>
        <sz val="10"/>
        <color rgb="FF000000"/>
        <rFont val="Times New Roman"/>
        <charset val="134"/>
      </rPr>
      <t>Age Range (</t>
    </r>
    <r>
      <rPr>
        <b/>
        <i/>
        <sz val="10"/>
        <color rgb="FF000000"/>
        <rFont val="Times New Roman"/>
        <charset val="134"/>
      </rPr>
      <t>years)</t>
    </r>
  </si>
  <si>
    <t>41-62</t>
  </si>
  <si>
    <t>1026.3</t>
  </si>
  <si>
    <t>720.9; 1559.7</t>
  </si>
  <si>
    <t>885.9; 1143.5</t>
  </si>
  <si>
    <t>41-60</t>
  </si>
  <si>
    <t>Polyphenols intake (mg/day) by chromatography</t>
  </si>
  <si>
    <t xml:space="preserve">Total polyphenols intake (mg GAE /day)  by Folin- Ciocalteau </t>
  </si>
  <si>
    <t xml:space="preserve">Total </t>
  </si>
  <si>
    <t>504.1</t>
  </si>
  <si>
    <t>249.9; 964.6</t>
  </si>
  <si>
    <t>450.0; 585.6</t>
  </si>
  <si>
    <t>%</t>
  </si>
  <si>
    <t>Total phenolic acids</t>
  </si>
  <si>
    <t>41.2</t>
  </si>
  <si>
    <t>207.5</t>
  </si>
  <si>
    <t>72.4; 576.1</t>
  </si>
  <si>
    <t>161.0; 260.8</t>
  </si>
  <si>
    <t>Phenolic acids</t>
  </si>
  <si>
    <t>Hydroxycinnamic acids</t>
  </si>
  <si>
    <t>38.0</t>
  </si>
  <si>
    <t>191.5</t>
  </si>
  <si>
    <t>56.8;557.4</t>
  </si>
  <si>
    <t>138.1; 252.8</t>
  </si>
  <si>
    <t>Age Range (years)</t>
  </si>
  <si>
    <t>Hydroxybenzoic acids</t>
  </si>
  <si>
    <t>0.8</t>
  </si>
  <si>
    <t>3.9</t>
  </si>
  <si>
    <t>1.6;10.1</t>
  </si>
  <si>
    <t>3.1; 4.5</t>
  </si>
  <si>
    <t xml:space="preserve">Polyphenols intake (mg /day) by  chromatography </t>
  </si>
  <si>
    <t>Total flavonoids</t>
  </si>
  <si>
    <t>30.1</t>
  </si>
  <si>
    <t>151.5</t>
  </si>
  <si>
    <t>46.3; 330.1</t>
  </si>
  <si>
    <t>129.6; 183.3</t>
  </si>
  <si>
    <t xml:space="preserve">_ </t>
  </si>
  <si>
    <t>Flavonoids</t>
  </si>
  <si>
    <t>Flavanols</t>
  </si>
  <si>
    <t>6.8</t>
  </si>
  <si>
    <t>34.4</t>
  </si>
  <si>
    <t>4.3; 141.3</t>
  </si>
  <si>
    <t>24.0; 45.2</t>
  </si>
  <si>
    <t>Contribution of polyphenols classes and subclasses</t>
  </si>
  <si>
    <t>Flavonols</t>
  </si>
  <si>
    <t>2.7</t>
  </si>
  <si>
    <t>13.7</t>
  </si>
  <si>
    <t>3.5;41.3</t>
  </si>
  <si>
    <t>11.3; 17.7</t>
  </si>
  <si>
    <t>Flavanones</t>
  </si>
  <si>
    <t>0.1</t>
  </si>
  <si>
    <t>0.6</t>
  </si>
  <si>
    <t>0.0; 8.5</t>
  </si>
  <si>
    <t>0.4;1.0</t>
  </si>
  <si>
    <t xml:space="preserve">Total phenolic acids </t>
  </si>
  <si>
    <t>Flavones</t>
  </si>
  <si>
    <t>0.4</t>
  </si>
  <si>
    <t>2.3</t>
  </si>
  <si>
    <t>0.3; 7.8</t>
  </si>
  <si>
    <t>1.4; 3.6</t>
  </si>
  <si>
    <t>Other polyphenols</t>
  </si>
  <si>
    <t>Lignans</t>
  </si>
  <si>
    <t>1.2</t>
  </si>
  <si>
    <t>5.8</t>
  </si>
  <si>
    <t>2.3; 16.5</t>
  </si>
  <si>
    <t>4.9; 7.4</t>
  </si>
  <si>
    <t>Totla flavonoids</t>
  </si>
  <si>
    <t>Others</t>
  </si>
  <si>
    <t>0.9</t>
  </si>
  <si>
    <t>3.4</t>
  </si>
  <si>
    <t>0.9; 8.9</t>
  </si>
  <si>
    <t>2.7; 4.5</t>
  </si>
  <si>
    <t>p -value</t>
  </si>
  <si>
    <t>Anthocyanins</t>
  </si>
  <si>
    <t>0.02</t>
  </si>
  <si>
    <t>0.30; 0.37</t>
  </si>
  <si>
    <t>0.07; 0.15</t>
  </si>
  <si>
    <t>0.10</t>
  </si>
  <si>
    <t>0.32; 0.40</t>
  </si>
  <si>
    <t>0.05; 0.22</t>
  </si>
  <si>
    <t>0.100</t>
  </si>
  <si>
    <t>0.06</t>
  </si>
  <si>
    <t>0.29; 0.30</t>
  </si>
  <si>
    <t>0.16; 0.05</t>
  </si>
  <si>
    <t>0.16</t>
  </si>
  <si>
    <t>0.20; 0.43</t>
  </si>
  <si>
    <t>0.03; 0.29</t>
  </si>
  <si>
    <t>0.020</t>
  </si>
  <si>
    <t>0.08</t>
  </si>
  <si>
    <t>0.33; 0.29</t>
  </si>
  <si>
    <t>0.20;0.05</t>
  </si>
  <si>
    <t>Stilbenes</t>
  </si>
  <si>
    <t xml:space="preserve">POLYPHENOLS INTAKE </t>
  </si>
  <si>
    <t>T1 - Low n=104</t>
  </si>
  <si>
    <t>T2 - Medium  n=103</t>
  </si>
  <si>
    <t>T2 - High  n=103</t>
  </si>
  <si>
    <t>model 1</t>
  </si>
  <si>
    <t>Model 2</t>
  </si>
  <si>
    <t>model 3</t>
  </si>
  <si>
    <t>Model 4</t>
  </si>
  <si>
    <t>T3 - High  n=104</t>
  </si>
  <si>
    <t>p-value</t>
  </si>
  <si>
    <t>Median (IQR)</t>
  </si>
  <si>
    <t>Polyphenol intake (mg/day)</t>
  </si>
  <si>
    <t>384.4; 663.9</t>
  </si>
  <si>
    <t>465.51; 552.67</t>
  </si>
  <si>
    <t>827.42; 1125.4</t>
  </si>
  <si>
    <t>903.15; 1038.7</t>
  </si>
  <si>
    <t>1550.6; 2435.1</t>
  </si>
  <si>
    <t>1677.2; 1968.9</t>
  </si>
  <si>
    <t>&lt;0.0001</t>
  </si>
  <si>
    <r>
      <rPr>
        <b/>
        <sz val="10"/>
        <color rgb="FF000000"/>
        <rFont val="Condensed"/>
        <charset val="134"/>
      </rPr>
      <t xml:space="preserve">Age </t>
    </r>
    <r>
      <rPr>
        <sz val="10"/>
        <color rgb="FF000000"/>
        <rFont val="Condensed"/>
        <charset val="134"/>
      </rPr>
      <t>(years)</t>
    </r>
  </si>
  <si>
    <t>28.3; 47.0</t>
  </si>
  <si>
    <t>32.0; 41.0</t>
  </si>
  <si>
    <t>33.0; 51.0</t>
  </si>
  <si>
    <t>40.0; 44.0</t>
  </si>
  <si>
    <t>39.0; 46.0</t>
  </si>
  <si>
    <t>Range</t>
  </si>
  <si>
    <t>E-DII</t>
  </si>
  <si>
    <t>-0.141; 0.505</t>
  </si>
  <si>
    <t>0.198; 0.367</t>
  </si>
  <si>
    <t>-0.304; 0.282</t>
  </si>
  <si>
    <t>-0.0954; 0.119</t>
  </si>
  <si>
    <t>-0.396; 0.198</t>
  </si>
  <si>
    <t>-0.276; -0.0528</t>
  </si>
  <si>
    <r>
      <rPr>
        <b/>
        <sz val="10"/>
        <color rgb="FF000000"/>
        <rFont val="Condensed"/>
        <charset val="134"/>
      </rPr>
      <t xml:space="preserve">Weight </t>
    </r>
    <r>
      <rPr>
        <sz val="10"/>
        <color rgb="FF000000"/>
        <rFont val="Condensed"/>
        <charset val="134"/>
      </rPr>
      <t>(kg)</t>
    </r>
  </si>
  <si>
    <t>64.15; 86.40</t>
  </si>
  <si>
    <t>70.80; 80.00</t>
  </si>
  <si>
    <t>61.80; 81.90</t>
  </si>
  <si>
    <t>65.80; 74.4</t>
  </si>
  <si>
    <t>62.10; 82.80</t>
  </si>
  <si>
    <t>68.20; 77.00</t>
  </si>
  <si>
    <r>
      <rPr>
        <b/>
        <sz val="10"/>
        <color rgb="FF000000"/>
        <rFont val="Condensed"/>
        <charset val="134"/>
      </rPr>
      <t xml:space="preserve">BMI </t>
    </r>
    <r>
      <rPr>
        <sz val="10"/>
        <color rgb="FF000000"/>
        <rFont val="Condensed"/>
        <charset val="134"/>
      </rPr>
      <t>(kg/m</t>
    </r>
    <r>
      <rPr>
        <vertAlign val="superscript"/>
        <sz val="10"/>
        <color rgb="FF000000"/>
        <rFont val="Condensed"/>
        <charset val="134"/>
      </rPr>
      <t>2</t>
    </r>
    <r>
      <rPr>
        <sz val="10"/>
        <color rgb="FF000000"/>
        <rFont val="Condensed"/>
        <charset val="134"/>
      </rPr>
      <t>)</t>
    </r>
  </si>
  <si>
    <t>24.73; 32.18</t>
  </si>
  <si>
    <t>27.04; 29.23</t>
  </si>
  <si>
    <t>23.5; 29.94</t>
  </si>
  <si>
    <t>25.26; 27.41</t>
  </si>
  <si>
    <t>23.75; 29.86</t>
  </si>
  <si>
    <t>25.59; 27.65</t>
  </si>
  <si>
    <r>
      <rPr>
        <b/>
        <sz val="10"/>
        <color rgb="FF000000"/>
        <rFont val="Condensed"/>
        <charset val="134"/>
      </rPr>
      <t>Waist circumference</t>
    </r>
    <r>
      <rPr>
        <sz val="10"/>
        <color rgb="FF000000"/>
        <rFont val="Condensed"/>
        <charset val="134"/>
      </rPr>
      <t xml:space="preserve"> (cm)</t>
    </r>
  </si>
  <si>
    <t>82.68; 102.90</t>
  </si>
  <si>
    <t>89.50; 97.50</t>
  </si>
  <si>
    <t>81.00; 99.00</t>
  </si>
  <si>
    <t>85.70; 92.80</t>
  </si>
  <si>
    <t>81.83; 99.00</t>
  </si>
  <si>
    <t>88.80; 95.30</t>
  </si>
  <si>
    <t>29.29; 40.24</t>
  </si>
  <si>
    <t>32.32; 36.91</t>
  </si>
  <si>
    <t>28.59; 39.81</t>
  </si>
  <si>
    <t xml:space="preserve">31.21; 36.1 </t>
  </si>
  <si>
    <t>27.51; 38.43</t>
  </si>
  <si>
    <t>30.83; 34.38</t>
  </si>
  <si>
    <r>
      <rPr>
        <b/>
        <sz val="10"/>
        <color rgb="FF000000"/>
        <rFont val="Condensed"/>
        <charset val="134"/>
      </rPr>
      <t xml:space="preserve">Leptin </t>
    </r>
    <r>
      <rPr>
        <sz val="10"/>
        <color rgb="FF000000"/>
        <rFont val="Condensed"/>
        <charset val="134"/>
      </rPr>
      <t>(ng/mL)</t>
    </r>
  </si>
  <si>
    <t>3.17; 11.7</t>
  </si>
  <si>
    <t>6.00; 9.41</t>
  </si>
  <si>
    <t>1.13; 8.50</t>
  </si>
  <si>
    <t>3.25; 5.49</t>
  </si>
  <si>
    <t>2.11; 8.38</t>
  </si>
  <si>
    <t>3.13; 5.5</t>
  </si>
  <si>
    <t>High</t>
  </si>
  <si>
    <t>Low</t>
  </si>
  <si>
    <t>Medium</t>
  </si>
  <si>
    <r>
      <rPr>
        <b/>
        <sz val="10"/>
        <color rgb="FF000000"/>
        <rFont val="Condensed"/>
        <charset val="134"/>
      </rPr>
      <t xml:space="preserve">Adiponectin </t>
    </r>
    <r>
      <rPr>
        <sz val="10"/>
        <color rgb="FF000000"/>
        <rFont val="Condensed"/>
        <charset val="134"/>
      </rPr>
      <t>(µg/ml)</t>
    </r>
  </si>
  <si>
    <t>3.85; 7.36</t>
  </si>
  <si>
    <t>4.68; 6.01</t>
  </si>
  <si>
    <t>4.28; 8.56</t>
  </si>
  <si>
    <t>5.46; 7.01</t>
  </si>
  <si>
    <t>3.99; 8.43</t>
  </si>
  <si>
    <t>5.3; 7.04</t>
  </si>
  <si>
    <t>Number of values</t>
  </si>
  <si>
    <t>Leptin/Adiponectin</t>
  </si>
  <si>
    <t>0.65; 2.09</t>
  </si>
  <si>
    <t>0.88; 1.48</t>
  </si>
  <si>
    <t>0.25; 1.53</t>
  </si>
  <si>
    <t>0.48; 0.89</t>
  </si>
  <si>
    <t>0.32; 1.29</t>
  </si>
  <si>
    <t>0.57; 0.89</t>
  </si>
  <si>
    <r>
      <rPr>
        <b/>
        <sz val="10"/>
        <color rgb="FF000000"/>
        <rFont val="Condensed"/>
        <charset val="134"/>
      </rPr>
      <t>ApoB</t>
    </r>
    <r>
      <rPr>
        <sz val="10"/>
        <color rgb="FF000000"/>
        <rFont val="Condensed"/>
        <charset val="134"/>
      </rPr>
      <t xml:space="preserve"> (mg/dL)</t>
    </r>
  </si>
  <si>
    <t>71.35; 114.00</t>
  </si>
  <si>
    <t>86.80; 97.80</t>
  </si>
  <si>
    <t>77.90; 106.00</t>
  </si>
  <si>
    <t>86.90; 98.20</t>
  </si>
  <si>
    <t>78.48; 108.30</t>
  </si>
  <si>
    <t>89.40; 97.40</t>
  </si>
  <si>
    <t>25% Percentile</t>
  </si>
  <si>
    <r>
      <rPr>
        <b/>
        <sz val="10"/>
        <color rgb="FF000000"/>
        <rFont val="Condensed"/>
        <charset val="134"/>
      </rPr>
      <t xml:space="preserve">HDL </t>
    </r>
    <r>
      <rPr>
        <sz val="10"/>
        <color rgb="FF000000"/>
        <rFont val="Condensed"/>
        <charset val="134"/>
      </rPr>
      <t>(mg/dL)</t>
    </r>
  </si>
  <si>
    <t>36.00; 51.50</t>
  </si>
  <si>
    <t>40.00; 45.00</t>
  </si>
  <si>
    <t>37.00; 54.00</t>
  </si>
  <si>
    <t>42.00; 48.00</t>
  </si>
  <si>
    <t>40.00; 49.00</t>
  </si>
  <si>
    <r>
      <rPr>
        <b/>
        <sz val="10"/>
        <color rgb="FF000000"/>
        <rFont val="Condensed"/>
        <charset val="134"/>
      </rPr>
      <t>VLDL</t>
    </r>
    <r>
      <rPr>
        <sz val="10"/>
        <color rgb="FF000000"/>
        <rFont val="Condensed"/>
        <charset val="134"/>
      </rPr>
      <t xml:space="preserve"> (mg/dL)</t>
    </r>
  </si>
  <si>
    <t>17.00; 37.85</t>
  </si>
  <si>
    <t>20.60; 28.00</t>
  </si>
  <si>
    <t>17.9; 32</t>
  </si>
  <si>
    <t>21.6; 25</t>
  </si>
  <si>
    <t>17.65; 37.40</t>
  </si>
  <si>
    <t>22.40; 30.00</t>
  </si>
  <si>
    <t>75% Percentile</t>
  </si>
  <si>
    <r>
      <rPr>
        <b/>
        <sz val="10"/>
        <color rgb="FF000000"/>
        <rFont val="Condensed"/>
        <charset val="134"/>
      </rPr>
      <t xml:space="preserve">LDL </t>
    </r>
    <r>
      <rPr>
        <sz val="10"/>
        <color rgb="FF000000"/>
        <rFont val="Condensed"/>
        <charset val="134"/>
      </rPr>
      <t>(mg/dL)</t>
    </r>
  </si>
  <si>
    <t>89.75; 135.30</t>
  </si>
  <si>
    <t>101.00; 118.00</t>
  </si>
  <si>
    <t>96.00; 131.00</t>
  </si>
  <si>
    <t>107.00; 121.00</t>
  </si>
  <si>
    <t>93.00; 137.00</t>
  </si>
  <si>
    <t>105.00; 123.00</t>
  </si>
  <si>
    <r>
      <rPr>
        <b/>
        <sz val="10"/>
        <color rgb="FF000000"/>
        <rFont val="Condensed"/>
        <charset val="134"/>
      </rPr>
      <t>TC</t>
    </r>
    <r>
      <rPr>
        <sz val="10"/>
        <color rgb="FF000000"/>
        <rFont val="Condensed"/>
        <charset val="134"/>
      </rPr>
      <t xml:space="preserve"> (mg/dL)</t>
    </r>
  </si>
  <si>
    <t>159.00; 210.75</t>
  </si>
  <si>
    <t>172.00; 194.00</t>
  </si>
  <si>
    <t>165.00; 203.00</t>
  </si>
  <si>
    <t>177.00; 190.00</t>
  </si>
  <si>
    <t>166.25; 210.00</t>
  </si>
  <si>
    <t>182.00; 194.00</t>
  </si>
  <si>
    <t>95% CI of median</t>
  </si>
  <si>
    <r>
      <rPr>
        <b/>
        <sz val="10"/>
        <color rgb="FF000000"/>
        <rFont val="Condensed"/>
        <charset val="134"/>
      </rPr>
      <t xml:space="preserve">TG </t>
    </r>
    <r>
      <rPr>
        <sz val="10"/>
        <color rgb="FF000000"/>
        <rFont val="Condensed"/>
        <charset val="134"/>
      </rPr>
      <t>(mg/dL)</t>
    </r>
  </si>
  <si>
    <t>84.25; 188.00</t>
  </si>
  <si>
    <t>103.00; 139.00</t>
  </si>
  <si>
    <t>89.00; 161.00</t>
  </si>
  <si>
    <t>109.00; 128.00</t>
  </si>
  <si>
    <t>85.00; 186.75</t>
  </si>
  <si>
    <t>112.00; 151.00</t>
  </si>
  <si>
    <t>  Actual confidence level</t>
  </si>
  <si>
    <t>97%</t>
  </si>
  <si>
    <t>95%</t>
  </si>
  <si>
    <t>96%</t>
  </si>
  <si>
    <t>3.34; 5.2261</t>
  </si>
  <si>
    <t>3.96; 4.56</t>
  </si>
  <si>
    <t>3.35; 5.11</t>
  </si>
  <si>
    <t>3.69; 4.49</t>
  </si>
  <si>
    <t>3.32; 5.27</t>
  </si>
  <si>
    <t>3.88; 4.73</t>
  </si>
  <si>
    <t>  Lower confidence limit</t>
  </si>
  <si>
    <t>Atherogenic index plasma</t>
  </si>
  <si>
    <t>0.24; 0.70</t>
  </si>
  <si>
    <t>0.33; 0.55</t>
  </si>
  <si>
    <t>0.24; 0.65</t>
  </si>
  <si>
    <t>0.35; 0.50</t>
  </si>
  <si>
    <t>0.22; 0.72</t>
  </si>
  <si>
    <t>0.38; 0.55</t>
  </si>
  <si>
    <t>  Upper confidence limit</t>
  </si>
  <si>
    <r>
      <rPr>
        <b/>
        <sz val="10"/>
        <color rgb="FF000000"/>
        <rFont val="Condensed"/>
        <charset val="134"/>
      </rPr>
      <t>Creatinine</t>
    </r>
    <r>
      <rPr>
        <sz val="10"/>
        <color rgb="FF000000"/>
        <rFont val="Condensed"/>
        <charset val="134"/>
      </rPr>
      <t xml:space="preserve"> (mg/dL)</t>
    </r>
  </si>
  <si>
    <t>112.10; 203.10</t>
  </si>
  <si>
    <t>133.50; 174.80</t>
  </si>
  <si>
    <t>83.80; 205.90</t>
  </si>
  <si>
    <t>112.00; 165.00</t>
  </si>
  <si>
    <t>79.43; 190.60</t>
  </si>
  <si>
    <t>108.10; 158.50</t>
  </si>
  <si>
    <r>
      <rPr>
        <b/>
        <sz val="10"/>
        <color rgb="FF000000"/>
        <rFont val="Condensed"/>
        <charset val="134"/>
      </rPr>
      <t>hsCRP</t>
    </r>
    <r>
      <rPr>
        <sz val="10"/>
        <color rgb="FF000000"/>
        <rFont val="Condensed"/>
        <charset val="134"/>
      </rPr>
      <t xml:space="preserve"> (mg/L)</t>
    </r>
  </si>
  <si>
    <t>1.40; 3.88</t>
  </si>
  <si>
    <t>1.80; 2.60</t>
  </si>
  <si>
    <t>0.91; 3.30</t>
  </si>
  <si>
    <t>1.50; 2.20</t>
  </si>
  <si>
    <t>0.90; 3.28</t>
  </si>
  <si>
    <t>1.50; 2.10</t>
  </si>
  <si>
    <r>
      <rPr>
        <b/>
        <sz val="10"/>
        <color rgb="FF000000"/>
        <rFont val="Condensed"/>
        <charset val="134"/>
      </rPr>
      <t>Fasting glucose</t>
    </r>
    <r>
      <rPr>
        <sz val="10"/>
        <color rgb="FF000000"/>
        <rFont val="Condensed"/>
        <charset val="134"/>
      </rPr>
      <t xml:space="preserve"> (mmol/L)</t>
    </r>
  </si>
  <si>
    <t>82.00; 92.75</t>
  </si>
  <si>
    <t>85.00; 89.00</t>
  </si>
  <si>
    <t>80.00; 91.00</t>
  </si>
  <si>
    <t>84.00; 88.00</t>
  </si>
  <si>
    <t>82.00; 86.00</t>
  </si>
  <si>
    <t>Std. Deviation</t>
  </si>
  <si>
    <r>
      <rPr>
        <b/>
        <sz val="10"/>
        <color rgb="FF000000"/>
        <rFont val="Condensed"/>
        <charset val="134"/>
      </rPr>
      <t>Fasting insulin (</t>
    </r>
    <r>
      <rPr>
        <sz val="10"/>
        <color rgb="FF000000"/>
        <rFont val="Condensed"/>
        <charset val="134"/>
      </rPr>
      <t>µU/ml)</t>
    </r>
  </si>
  <si>
    <t>9.12; 18.76</t>
  </si>
  <si>
    <t>11.18; 14.91</t>
  </si>
  <si>
    <t>6.72; 15.19</t>
  </si>
  <si>
    <t>8.38; 11.47</t>
  </si>
  <si>
    <t>7.46; 15.71</t>
  </si>
  <si>
    <t>9.19; 11.70</t>
  </si>
  <si>
    <r>
      <rPr>
        <b/>
        <sz val="10"/>
        <color rgb="FF000000"/>
        <rFont val="Condensed"/>
        <charset val="134"/>
      </rPr>
      <t xml:space="preserve">HbA1c </t>
    </r>
    <r>
      <rPr>
        <sz val="10"/>
        <color rgb="FF000000"/>
        <rFont val="Condensed"/>
        <charset val="134"/>
      </rPr>
      <t>(%)</t>
    </r>
  </si>
  <si>
    <t>5.20; 5.70</t>
  </si>
  <si>
    <t>5.33; 5.55</t>
  </si>
  <si>
    <t>5.20; 5.68</t>
  </si>
  <si>
    <t>5.38; 5.50</t>
  </si>
  <si>
    <t>5.30; 5.80</t>
  </si>
  <si>
    <t>5.44; 5.60</t>
  </si>
  <si>
    <t>HOMA-B</t>
  </si>
  <si>
    <t>127.67; 293.01</t>
  </si>
  <si>
    <t>176.28; 225.3</t>
  </si>
  <si>
    <t>112.42; 242.4</t>
  </si>
  <si>
    <t>142.69; 181.32</t>
  </si>
  <si>
    <t>113.5; 268.36</t>
  </si>
  <si>
    <t>150.26; 216.52</t>
  </si>
  <si>
    <t>HOMA-S</t>
  </si>
  <si>
    <t>25.65; 53.05</t>
  </si>
  <si>
    <t>30.26; 43.17</t>
  </si>
  <si>
    <t>29.03; 71.47</t>
  </si>
  <si>
    <t>43.48; 58.22</t>
  </si>
  <si>
    <t>27.27; 62.44</t>
  </si>
  <si>
    <t>43.07; 53.02</t>
  </si>
  <si>
    <t>1.89; 3.9</t>
  </si>
  <si>
    <t>2.32; 3.3</t>
  </si>
  <si>
    <t>1.4; 3.44</t>
  </si>
  <si>
    <t>1.72; 2.3</t>
  </si>
  <si>
    <t>1.6; 3.67</t>
  </si>
  <si>
    <t>1.89; 2.32</t>
  </si>
  <si>
    <t>Quicki</t>
  </si>
  <si>
    <t>0.312; 0.346</t>
  </si>
  <si>
    <t>0.319; 0.336</t>
  </si>
  <si>
    <t>0.318; 0.363</t>
  </si>
  <si>
    <t>0.336; 0.351</t>
  </si>
  <si>
    <t>0.315; 0.355</t>
  </si>
  <si>
    <t>0.336; 0.346</t>
  </si>
  <si>
    <r>
      <rPr>
        <b/>
        <sz val="10"/>
        <color rgb="FF000000"/>
        <rFont val="Condensed"/>
        <charset val="134"/>
      </rPr>
      <t xml:space="preserve">Systolic BP </t>
    </r>
    <r>
      <rPr>
        <sz val="10"/>
        <color rgb="FF000000"/>
        <rFont val="Condensed"/>
        <charset val="134"/>
      </rPr>
      <t>(mm Hg)</t>
    </r>
  </si>
  <si>
    <t>108.00; 134.00</t>
  </si>
  <si>
    <t>117.00; 126.00</t>
  </si>
  <si>
    <t>111.00; 136.00</t>
  </si>
  <si>
    <t>120.00; 126.00</t>
  </si>
  <si>
    <t>109.50; 135.00</t>
  </si>
  <si>
    <t>116.00; 128.00</t>
  </si>
  <si>
    <r>
      <rPr>
        <b/>
        <sz val="10"/>
        <color rgb="FF000000"/>
        <rFont val="Condensed"/>
        <charset val="134"/>
      </rPr>
      <t xml:space="preserve">Diastolic BP </t>
    </r>
    <r>
      <rPr>
        <sz val="10"/>
        <color rgb="FF000000"/>
        <rFont val="Condensed"/>
        <charset val="134"/>
      </rPr>
      <t>(mm Hg)</t>
    </r>
  </si>
  <si>
    <t>72.00; 89.75</t>
  </si>
  <si>
    <t>76.00; 84.00</t>
  </si>
  <si>
    <t>71.00; 87.00</t>
  </si>
  <si>
    <t>77.00; 81.00</t>
  </si>
  <si>
    <t>69.00; 86.75</t>
  </si>
  <si>
    <t>76.00; 81.00</t>
  </si>
  <si>
    <t>Nutrients</t>
  </si>
  <si>
    <t>Calories</t>
  </si>
  <si>
    <t>1733.59; 2100.99</t>
  </si>
  <si>
    <t>1862.51; 1963.55</t>
  </si>
  <si>
    <t>1759.7; 2162.01</t>
  </si>
  <si>
    <t>1877.83; 1997.51</t>
  </si>
  <si>
    <t>1765.71; 2174.02</t>
  </si>
  <si>
    <t>1871.4; 2040.41</t>
  </si>
  <si>
    <t>Fiber (g)</t>
  </si>
  <si>
    <t>13.11; 17.55</t>
  </si>
  <si>
    <t>14.15; 16.36</t>
  </si>
  <si>
    <t>15.72; 20.13</t>
  </si>
  <si>
    <t>17.3; 18.37</t>
  </si>
  <si>
    <t>16.66; 22.89</t>
  </si>
  <si>
    <t>18.47; 20.97</t>
  </si>
  <si>
    <t>Ca (mg)</t>
  </si>
  <si>
    <t>432.64; 741.99</t>
  </si>
  <si>
    <t>523.16; 646.87</t>
  </si>
  <si>
    <t>485.58; 789.39</t>
  </si>
  <si>
    <t>580.99; 673.99</t>
  </si>
  <si>
    <t>478.37; 779.11</t>
  </si>
  <si>
    <t>558.77; 684.87</t>
  </si>
  <si>
    <t>P (mg)</t>
  </si>
  <si>
    <t>886.58; 1155.1</t>
  </si>
  <si>
    <t>949.21; 1051.9</t>
  </si>
  <si>
    <t>918.61; 1140.2</t>
  </si>
  <si>
    <t>1009.3; 1082.2</t>
  </si>
  <si>
    <t>945.33; 1159.9</t>
  </si>
  <si>
    <t>997.95; 1094.3</t>
  </si>
  <si>
    <t>Fe (mg)</t>
  </si>
  <si>
    <t>11.85; 14.43</t>
  </si>
  <si>
    <t>12.57; 13.41</t>
  </si>
  <si>
    <t>12.08; 14.42</t>
  </si>
  <si>
    <t>13.12; 13.92</t>
  </si>
  <si>
    <t>12.76; 15.03</t>
  </si>
  <si>
    <t>13.5; 14.35</t>
  </si>
  <si>
    <t>Na (mg)</t>
  </si>
  <si>
    <t>1125; 1588.8</t>
  </si>
  <si>
    <t>1200; 1352</t>
  </si>
  <si>
    <t>1135.5; 1478.8</t>
  </si>
  <si>
    <t>1210.7; 1344.3</t>
  </si>
  <si>
    <t>997.59; 1482.3</t>
  </si>
  <si>
    <t>1140.5; 1347.8</t>
  </si>
  <si>
    <t>K (mg)</t>
  </si>
  <si>
    <t>2359.26; 3241.6</t>
  </si>
  <si>
    <t>2622.21; 2958.12</t>
  </si>
  <si>
    <t>2740.73; 3498.47</t>
  </si>
  <si>
    <t>2869; 3240.93</t>
  </si>
  <si>
    <t>2834.42; 3669.75</t>
  </si>
  <si>
    <t>3079.27; 3376.9</t>
  </si>
  <si>
    <t>Mg (mg)</t>
  </si>
  <si>
    <t>193.88; 249.32</t>
  </si>
  <si>
    <t>215.09; 229.94</t>
  </si>
  <si>
    <t>213.67; 257.99</t>
  </si>
  <si>
    <t>230.94; 244.79</t>
  </si>
  <si>
    <t>233.93; 283.61</t>
  </si>
  <si>
    <t>248.15; 261.84</t>
  </si>
  <si>
    <t>Zn (mg)</t>
  </si>
  <si>
    <t>9.997; 10.79</t>
  </si>
  <si>
    <t>10.23; 10.55</t>
  </si>
  <si>
    <t>9.995; 10.84</t>
  </si>
  <si>
    <t>10.29; 10.58</t>
  </si>
  <si>
    <t>10.03; 10.85</t>
  </si>
  <si>
    <t>10.29; 10.62</t>
  </si>
  <si>
    <t>Cu (mg)</t>
  </si>
  <si>
    <t>1.04; 1.55</t>
  </si>
  <si>
    <t>1.2; 1.35</t>
  </si>
  <si>
    <t>1.21; 1.84</t>
  </si>
  <si>
    <t>1.38; 1.56</t>
  </si>
  <si>
    <t>1.38; 2.12</t>
  </si>
  <si>
    <t>1.45; 1.75</t>
  </si>
  <si>
    <t>Mn (mg)</t>
  </si>
  <si>
    <t>2.71; 3.37</t>
  </si>
  <si>
    <t>2.94; 3.18</t>
  </si>
  <si>
    <t>2.87; 3.32</t>
  </si>
  <si>
    <t>2.99; 3.17</t>
  </si>
  <si>
    <t>2.94; 3.6</t>
  </si>
  <si>
    <t>3.13; 3.32</t>
  </si>
  <si>
    <t>Vitamin A-RE (IU)</t>
  </si>
  <si>
    <t>697.82; 865.65</t>
  </si>
  <si>
    <t>738.02; 806.57</t>
  </si>
  <si>
    <t>692.03; 949.11</t>
  </si>
  <si>
    <t>775.8; 873.71</t>
  </si>
  <si>
    <t>709.07; 931.63</t>
  </si>
  <si>
    <t>764.96; 843.03</t>
  </si>
  <si>
    <t>B1 (mg)</t>
  </si>
  <si>
    <t>0.882; 1.3</t>
  </si>
  <si>
    <t>1.02; 1.17</t>
  </si>
  <si>
    <t>0.951; 1.29</t>
  </si>
  <si>
    <t>1.04; 1.17</t>
  </si>
  <si>
    <t>0.963; 1.37</t>
  </si>
  <si>
    <t>1.05; 1.2</t>
  </si>
  <si>
    <t>B2 (mg)</t>
  </si>
  <si>
    <t>1.40; 1.94</t>
  </si>
  <si>
    <t>1.55; 1.77</t>
  </si>
  <si>
    <t>1.47; 2.05</t>
  </si>
  <si>
    <t>1.61; 1.83</t>
  </si>
  <si>
    <t>1.47; 2.02</t>
  </si>
  <si>
    <t>1.61; 1.84</t>
  </si>
  <si>
    <t>B3 (mg)</t>
  </si>
  <si>
    <t>13.04; 18</t>
  </si>
  <si>
    <t>14.78; 16.12</t>
  </si>
  <si>
    <t>13.51; 19.53</t>
  </si>
  <si>
    <t>14.83; 16.58</t>
  </si>
  <si>
    <t>14; 18.76</t>
  </si>
  <si>
    <t>15.21; 16.44</t>
  </si>
  <si>
    <t>B5 (mg)</t>
  </si>
  <si>
    <t>4.16; 5.25</t>
  </si>
  <si>
    <t>4.49; 4.82</t>
  </si>
  <si>
    <t>4.47; 5.4</t>
  </si>
  <si>
    <t>4.77; 5.06</t>
  </si>
  <si>
    <t>4.52; 5.44</t>
  </si>
  <si>
    <t>4.8; 5.04</t>
  </si>
  <si>
    <t>B6 (mg)</t>
  </si>
  <si>
    <t>1.11; 1.80</t>
  </si>
  <si>
    <t>1.29; 1.60</t>
  </si>
  <si>
    <t>1.10; 1.95</t>
  </si>
  <si>
    <t>1.30; 1.51</t>
  </si>
  <si>
    <t>1.03; 1.73</t>
  </si>
  <si>
    <t>1.2; 1.44</t>
  </si>
  <si>
    <t>B9 (folate) (µg)</t>
  </si>
  <si>
    <t>303.42; 380.72</t>
  </si>
  <si>
    <t>315.41; 350.64</t>
  </si>
  <si>
    <t>304.82; 386.65</t>
  </si>
  <si>
    <t>327.65; 353.43</t>
  </si>
  <si>
    <t>321.24; 411.41</t>
  </si>
  <si>
    <t>347.03; 371.24</t>
  </si>
  <si>
    <t>B12 (mg)</t>
  </si>
  <si>
    <t>6.94; 7.38</t>
  </si>
  <si>
    <t>7.04; 7.23</t>
  </si>
  <si>
    <t>6.97; 7.48</t>
  </si>
  <si>
    <t>7.09; 7.3</t>
  </si>
  <si>
    <t>6.93; 7.34</t>
  </si>
  <si>
    <t>7.07; 7.21</t>
  </si>
  <si>
    <t>Vitamin C (mg)</t>
  </si>
  <si>
    <t>107.56; 170.13</t>
  </si>
  <si>
    <t>126.86; 149.63</t>
  </si>
  <si>
    <t>169.03*</t>
  </si>
  <si>
    <t>122.42; 216.92</t>
  </si>
  <si>
    <t>145.26; 179.69</t>
  </si>
  <si>
    <t>180.76**</t>
  </si>
  <si>
    <t>137.75; 222</t>
  </si>
  <si>
    <t>169.11; 206.1</t>
  </si>
  <si>
    <t>Gut microbiota</t>
  </si>
  <si>
    <t>CAG-Prevotella+</t>
  </si>
  <si>
    <t>0.017; 0.18</t>
  </si>
  <si>
    <t>0.049; 0.1</t>
  </si>
  <si>
    <t>0.03; 0.16</t>
  </si>
  <si>
    <t>0.075; 0.12</t>
  </si>
  <si>
    <t>0.032; 0.15</t>
  </si>
  <si>
    <t>0.077; 0.13</t>
  </si>
  <si>
    <t>CAG-Lachnospiraceae+</t>
  </si>
  <si>
    <t>0.13; 0.39</t>
  </si>
  <si>
    <t>0.16; 0.25</t>
  </si>
  <si>
    <t>0.11; 0.37</t>
  </si>
  <si>
    <t>0.2; 0.28</t>
  </si>
  <si>
    <t>0.13; 0.37</t>
  </si>
  <si>
    <t>0.17; 0.25</t>
  </si>
  <si>
    <t>CAG-Pathogen+</t>
  </si>
  <si>
    <t>0.028; 0.24</t>
  </si>
  <si>
    <t>0.062; 0.13</t>
  </si>
  <si>
    <t>0.015; 0.17</t>
  </si>
  <si>
    <t>0.04; 0.087</t>
  </si>
  <si>
    <t>0.039**</t>
  </si>
  <si>
    <t>0.014; 0.13</t>
  </si>
  <si>
    <t>0.029; 0.064</t>
  </si>
  <si>
    <t>CAG-Akkermansia+</t>
  </si>
  <si>
    <t>0.034; 0.21</t>
  </si>
  <si>
    <t>0.055; 0.12</t>
  </si>
  <si>
    <t>0.033; 0.19</t>
  </si>
  <si>
    <t>0.059; 0.11</t>
  </si>
  <si>
    <t>0.039; 0.25</t>
  </si>
  <si>
    <t>0.081; 0.17</t>
  </si>
  <si>
    <t>CAG-Ruminococcaceae+</t>
  </si>
  <si>
    <t>0.023; 0.15</t>
  </si>
  <si>
    <t>0.047; 0.098</t>
  </si>
  <si>
    <t>0.028; 0.19</t>
  </si>
  <si>
    <t>0.069; 0.13</t>
  </si>
  <si>
    <t>0.035; 0.17</t>
  </si>
  <si>
    <t>0.067; 0.13</t>
  </si>
  <si>
    <t>Modelo0</t>
  </si>
  <si>
    <t>Sin ajuste</t>
  </si>
  <si>
    <t xml:space="preserve">Modelo1 </t>
  </si>
  <si>
    <t>_+ DB_Polyphenols$City+DB_Polyphenols$Sex+ DB_Polyphenols$Age_range</t>
  </si>
  <si>
    <t>Modelo 2</t>
  </si>
  <si>
    <t>_+ DB_Polyphenols$City+DB_Polyphenols$Sex+ DB_Polyphenols$Age_range +DB_Polyphenols$Actividad_fisica+ DB_Polyphenols$Alcohol+DB_Polyphenols$Tabaquismo_bin</t>
  </si>
  <si>
    <t>&lt;1000 mg/day</t>
  </si>
  <si>
    <t>&gt;1000 mg/day</t>
  </si>
  <si>
    <t>Mann whitney</t>
  </si>
  <si>
    <t xml:space="preserve">MLR unajusted </t>
  </si>
  <si>
    <t>MLR adjusted</t>
  </si>
  <si>
    <t>MLR model 1</t>
  </si>
  <si>
    <t>MLR model 2</t>
  </si>
  <si>
    <t xml:space="preserve">Standard deviation </t>
  </si>
  <si>
    <t xml:space="preserve">95% CI mean </t>
  </si>
  <si>
    <t>585; 720</t>
  </si>
  <si>
    <t>460; 794</t>
  </si>
  <si>
    <t>1480; 1677</t>
  </si>
  <si>
    <t>1230; 2052</t>
  </si>
  <si>
    <r>
      <rPr>
        <b/>
        <sz val="11"/>
        <color rgb="FF000000"/>
        <rFont val="72 Condensed"/>
        <charset val="134"/>
      </rPr>
      <t xml:space="preserve">Age </t>
    </r>
    <r>
      <rPr>
        <sz val="11"/>
        <color rgb="FF000000"/>
        <rFont val="72 Condensed"/>
        <charset val="134"/>
      </rPr>
      <t>(years)</t>
    </r>
  </si>
  <si>
    <t>37; 42</t>
  </si>
  <si>
    <t>29; 48</t>
  </si>
  <si>
    <t>39; 45</t>
  </si>
  <si>
    <t>33; 51</t>
  </si>
  <si>
    <t>0.0331; 0.301</t>
  </si>
  <si>
    <t>-0.183; 0.43</t>
  </si>
  <si>
    <t>-0.232; -0.0346</t>
  </si>
  <si>
    <t>-0.394; 0.242</t>
  </si>
  <si>
    <r>
      <rPr>
        <b/>
        <sz val="11"/>
        <color rgb="FF000000"/>
        <rFont val="72 Condensed"/>
        <charset val="134"/>
      </rPr>
      <t xml:space="preserve">Weight </t>
    </r>
    <r>
      <rPr>
        <sz val="11"/>
        <color rgb="FF000000"/>
        <rFont val="72 Condensed"/>
        <charset val="134"/>
      </rPr>
      <t>(kg)</t>
    </r>
  </si>
  <si>
    <r>
      <rPr>
        <b/>
        <sz val="11"/>
        <color rgb="FF000000"/>
        <rFont val="72 Condensed"/>
        <charset val="134"/>
      </rPr>
      <t xml:space="preserve">BMI </t>
    </r>
    <r>
      <rPr>
        <sz val="11"/>
        <color rgb="FF000000"/>
        <rFont val="72 Condensed"/>
        <charset val="134"/>
      </rPr>
      <t>(kg/m</t>
    </r>
    <r>
      <rPr>
        <vertAlign val="superscript"/>
        <sz val="11"/>
        <color rgb="FF000000"/>
        <rFont val="72 Condensed"/>
        <charset val="134"/>
      </rPr>
      <t>2</t>
    </r>
    <r>
      <rPr>
        <sz val="11"/>
        <color rgb="FF000000"/>
        <rFont val="72 Condensed"/>
        <charset val="134"/>
      </rPr>
      <t>)</t>
    </r>
  </si>
  <si>
    <t>26.8; 28.5</t>
  </si>
  <si>
    <t>24.4; 31.6</t>
  </si>
  <si>
    <t>25.3; 27.1</t>
  </si>
  <si>
    <t>23.5; 29.3</t>
  </si>
  <si>
    <r>
      <rPr>
        <b/>
        <sz val="11"/>
        <color rgb="FF000000"/>
        <rFont val="72 Condensed"/>
        <charset val="134"/>
      </rPr>
      <t>Waist circumference</t>
    </r>
    <r>
      <rPr>
        <sz val="11"/>
        <color rgb="FF000000"/>
        <rFont val="72 Condensed"/>
        <charset val="134"/>
      </rPr>
      <t xml:space="preserve"> (cm)</t>
    </r>
  </si>
  <si>
    <t>89.8; 96.8</t>
  </si>
  <si>
    <t>82.5; 103</t>
  </si>
  <si>
    <t>86.8; 92.9</t>
  </si>
  <si>
    <t>81.4; 98</t>
  </si>
  <si>
    <t>31.8; 35.8</t>
  </si>
  <si>
    <t>29.1; 39.2</t>
  </si>
  <si>
    <t>31.4; 35.2</t>
  </si>
  <si>
    <t>27.6; 39.1</t>
  </si>
  <si>
    <r>
      <rPr>
        <b/>
        <sz val="11"/>
        <color rgb="FF000000"/>
        <rFont val="72 Condensed"/>
        <charset val="134"/>
      </rPr>
      <t xml:space="preserve">Leptin </t>
    </r>
    <r>
      <rPr>
        <sz val="11"/>
        <color rgb="FF000000"/>
        <rFont val="72 Condensed"/>
        <charset val="134"/>
      </rPr>
      <t>(ng/mL)</t>
    </r>
  </si>
  <si>
    <t>4.74; 6.99</t>
  </si>
  <si>
    <t>2.46; 11.4</t>
  </si>
  <si>
    <t>3.5; 5.74</t>
  </si>
  <si>
    <t>1.98; 8.65</t>
  </si>
  <si>
    <r>
      <rPr>
        <b/>
        <sz val="11"/>
        <color rgb="FF000000"/>
        <rFont val="72 Condensed"/>
        <charset val="134"/>
      </rPr>
      <t xml:space="preserve">Adiponectin </t>
    </r>
    <r>
      <rPr>
        <sz val="11"/>
        <color rgb="FF000000"/>
        <rFont val="72 Condensed"/>
        <charset val="134"/>
      </rPr>
      <t>(µg/ml)</t>
    </r>
  </si>
  <si>
    <t>5.02; 6.14</t>
  </si>
  <si>
    <t>3.97; 7.79</t>
  </si>
  <si>
    <t>5.43; 7.04</t>
  </si>
  <si>
    <t>4.06; 8.59</t>
  </si>
  <si>
    <t>0.804; 1.19</t>
  </si>
  <si>
    <t>0.455; 1.85</t>
  </si>
  <si>
    <t>0.571; 0.887</t>
  </si>
  <si>
    <t>0.317; 1.38</t>
  </si>
  <si>
    <r>
      <rPr>
        <b/>
        <sz val="11"/>
        <color rgb="FF000000"/>
        <rFont val="72 Condensed"/>
        <charset val="134"/>
      </rPr>
      <t>ApoB</t>
    </r>
    <r>
      <rPr>
        <sz val="11"/>
        <color rgb="FF000000"/>
        <rFont val="72 Condensed"/>
        <charset val="134"/>
      </rPr>
      <t xml:space="preserve"> (mg/dL)</t>
    </r>
  </si>
  <si>
    <t>87.2; 96.1</t>
  </si>
  <si>
    <t>74.3; 113</t>
  </si>
  <si>
    <t>89.8; 97.5</t>
  </si>
  <si>
    <t>79.7; 108</t>
  </si>
  <si>
    <r>
      <rPr>
        <b/>
        <sz val="11"/>
        <color rgb="FF000000"/>
        <rFont val="72 Condensed"/>
        <charset val="134"/>
      </rPr>
      <t xml:space="preserve">HDL </t>
    </r>
    <r>
      <rPr>
        <sz val="11"/>
        <color rgb="FF000000"/>
        <rFont val="72 Condensed"/>
        <charset val="134"/>
      </rPr>
      <t>(mg/dL)</t>
    </r>
  </si>
  <si>
    <t>41; 45</t>
  </si>
  <si>
    <t>36; 52</t>
  </si>
  <si>
    <t>42; 49</t>
  </si>
  <si>
    <t>38; 54</t>
  </si>
  <si>
    <r>
      <rPr>
        <b/>
        <sz val="11"/>
        <color rgb="FF000000"/>
        <rFont val="72 Condensed"/>
        <charset val="134"/>
      </rPr>
      <t>VLDL</t>
    </r>
    <r>
      <rPr>
        <sz val="11"/>
        <color rgb="FF000000"/>
        <rFont val="72 Condensed"/>
        <charset val="134"/>
      </rPr>
      <t xml:space="preserve"> (mg/dL)</t>
    </r>
  </si>
  <si>
    <t>22; 27</t>
  </si>
  <si>
    <t>17; 35</t>
  </si>
  <si>
    <t>23; 29.2</t>
  </si>
  <si>
    <t>17.9; 36</t>
  </si>
  <si>
    <r>
      <rPr>
        <b/>
        <sz val="11"/>
        <color rgb="FF000000"/>
        <rFont val="72 Condensed"/>
        <charset val="134"/>
      </rPr>
      <t xml:space="preserve">LDL </t>
    </r>
    <r>
      <rPr>
        <sz val="11"/>
        <color rgb="FF000000"/>
        <rFont val="72 Condensed"/>
        <charset val="134"/>
      </rPr>
      <t>(mg/dL)</t>
    </r>
  </si>
  <si>
    <t>104; 116</t>
  </si>
  <si>
    <t>92.8; 129</t>
  </si>
  <si>
    <t>110; 123</t>
  </si>
  <si>
    <t>94; 138</t>
  </si>
  <si>
    <r>
      <rPr>
        <b/>
        <sz val="11"/>
        <color rgb="FF000000"/>
        <rFont val="72 Condensed"/>
        <charset val="134"/>
      </rPr>
      <t>TC</t>
    </r>
    <r>
      <rPr>
        <sz val="11"/>
        <color rgb="FF000000"/>
        <rFont val="72 Condensed"/>
        <charset val="134"/>
      </rPr>
      <t xml:space="preserve"> (mg/dL)</t>
    </r>
  </si>
  <si>
    <t>175; 189</t>
  </si>
  <si>
    <t>161; 207</t>
  </si>
  <si>
    <t>182; 194</t>
  </si>
  <si>
    <t>166; 212</t>
  </si>
  <si>
    <r>
      <rPr>
        <b/>
        <sz val="11"/>
        <color rgb="FF000000"/>
        <rFont val="72 Condensed"/>
        <charset val="134"/>
      </rPr>
      <t xml:space="preserve">TG </t>
    </r>
    <r>
      <rPr>
        <sz val="11"/>
        <color rgb="FF000000"/>
        <rFont val="72 Condensed"/>
        <charset val="134"/>
      </rPr>
      <t>(mg/dL)</t>
    </r>
  </si>
  <si>
    <t>108; 136</t>
  </si>
  <si>
    <t>84; 175</t>
  </si>
  <si>
    <t>113; 146</t>
  </si>
  <si>
    <t>89; 175</t>
  </si>
  <si>
    <t>3.9; 4.34</t>
  </si>
  <si>
    <t>3.36; 5.23</t>
  </si>
  <si>
    <t>3.88; 4.63</t>
  </si>
  <si>
    <t>3.32; 5.24</t>
  </si>
  <si>
    <t>0.37; 0.524</t>
  </si>
  <si>
    <t>0.245; 0.674</t>
  </si>
  <si>
    <t>0.367; 0.521</t>
  </si>
  <si>
    <t>0.218; 0.681</t>
  </si>
  <si>
    <t>TyG index</t>
  </si>
  <si>
    <t>5.56; 5.79</t>
  </si>
  <si>
    <t>5.3; 6.12</t>
  </si>
  <si>
    <t>5.57; 5.8</t>
  </si>
  <si>
    <t>5.35; 6.09</t>
  </si>
  <si>
    <t>TyG  BMI</t>
  </si>
  <si>
    <t>151; 168</t>
  </si>
  <si>
    <t>135; 183</t>
  </si>
  <si>
    <t>144; 159</t>
  </si>
  <si>
    <t>126; 174</t>
  </si>
  <si>
    <t>TyG WC</t>
  </si>
  <si>
    <t>509; 567</t>
  </si>
  <si>
    <t>460; 603</t>
  </si>
  <si>
    <t>496; 541</t>
  </si>
  <si>
    <t>426; 593</t>
  </si>
  <si>
    <t>TyG WHtR</t>
  </si>
  <si>
    <t>3.17; 3.43</t>
  </si>
  <si>
    <t>2.85; 3.71</t>
  </si>
  <si>
    <t>2.96; 3.3</t>
  </si>
  <si>
    <t>2.67; 3.59</t>
  </si>
  <si>
    <t>ABSi</t>
  </si>
  <si>
    <t>127; 133</t>
  </si>
  <si>
    <t>121; 138</t>
  </si>
  <si>
    <t>127; 131</t>
  </si>
  <si>
    <t>121; 136</t>
  </si>
  <si>
    <r>
      <rPr>
        <b/>
        <sz val="11"/>
        <color rgb="FF000000"/>
        <rFont val="72 Condensed"/>
        <charset val="134"/>
      </rPr>
      <t>Creatinine</t>
    </r>
    <r>
      <rPr>
        <sz val="11"/>
        <color rgb="FF000000"/>
        <rFont val="72 Condensed"/>
        <charset val="134"/>
      </rPr>
      <t xml:space="preserve"> (mg/dL)</t>
    </r>
  </si>
  <si>
    <t>133; 171</t>
  </si>
  <si>
    <t>104; 206</t>
  </si>
  <si>
    <t>110; 151</t>
  </si>
  <si>
    <t>80; 190</t>
  </si>
  <si>
    <r>
      <rPr>
        <b/>
        <sz val="11"/>
        <color rgb="FF000000"/>
        <rFont val="72 Condensed"/>
        <charset val="134"/>
      </rPr>
      <t>hsCRP</t>
    </r>
    <r>
      <rPr>
        <sz val="11"/>
        <color rgb="FF000000"/>
        <rFont val="72 Condensed"/>
        <charset val="134"/>
      </rPr>
      <t xml:space="preserve"> (mg/L)</t>
    </r>
  </si>
  <si>
    <t>1.9; 2.5</t>
  </si>
  <si>
    <t>1.3; 3.78</t>
  </si>
  <si>
    <t>1.5; 2</t>
  </si>
  <si>
    <t>0.9; 3.28</t>
  </si>
  <si>
    <r>
      <rPr>
        <b/>
        <sz val="11"/>
        <color rgb="FF000000"/>
        <rFont val="72 Condensed"/>
        <charset val="134"/>
      </rPr>
      <t>Fasting glucose</t>
    </r>
    <r>
      <rPr>
        <sz val="11"/>
        <color rgb="FF000000"/>
        <rFont val="72 Condensed"/>
        <charset val="134"/>
      </rPr>
      <t xml:space="preserve"> (mg/dL)</t>
    </r>
  </si>
  <si>
    <t>85; 88</t>
  </si>
  <si>
    <t>82; 93</t>
  </si>
  <si>
    <t>83; 86</t>
  </si>
  <si>
    <t>80; 91</t>
  </si>
  <si>
    <r>
      <rPr>
        <b/>
        <sz val="11"/>
        <color rgb="FF000000"/>
        <rFont val="72 Condensed"/>
        <charset val="134"/>
      </rPr>
      <t>Fasting insulin (</t>
    </r>
    <r>
      <rPr>
        <sz val="11"/>
        <color rgb="FF000000"/>
        <rFont val="72 Condensed"/>
        <charset val="134"/>
      </rPr>
      <t>µU/ml)</t>
    </r>
  </si>
  <si>
    <t>10.9; 13.4</t>
  </si>
  <si>
    <t>8.14; 18.5</t>
  </si>
  <si>
    <t>8.55; 10.6</t>
  </si>
  <si>
    <t>7.26; 15.2</t>
  </si>
  <si>
    <r>
      <rPr>
        <b/>
        <sz val="11"/>
        <color rgb="FF000000"/>
        <rFont val="72 Condensed"/>
        <charset val="134"/>
      </rPr>
      <t xml:space="preserve">HbA1c </t>
    </r>
    <r>
      <rPr>
        <sz val="11"/>
        <color rgb="FF000000"/>
        <rFont val="72 Condensed"/>
        <charset val="134"/>
      </rPr>
      <t>(%)</t>
    </r>
  </si>
  <si>
    <t>5.33; 5.5</t>
  </si>
  <si>
    <t>5.2; 5.7</t>
  </si>
  <si>
    <t>5.47; 5.6</t>
  </si>
  <si>
    <t>5.3; 5.8</t>
  </si>
  <si>
    <t>169; 207</t>
  </si>
  <si>
    <t>124; 256</t>
  </si>
  <si>
    <t>150; 194</t>
  </si>
  <si>
    <t>113; 263</t>
  </si>
  <si>
    <t>34.1; 44.2</t>
  </si>
  <si>
    <t>25.8; 58.3</t>
  </si>
  <si>
    <t>46.8; 55.4</t>
  </si>
  <si>
    <t>28.2; 68.9</t>
  </si>
  <si>
    <t>2.26; 2.94</t>
  </si>
  <si>
    <t>1.71; 3.88</t>
  </si>
  <si>
    <t>1.81; 2.14</t>
  </si>
  <si>
    <t>1.45; 3.54</t>
  </si>
  <si>
    <t>0.325; 0.337</t>
  </si>
  <si>
    <t>0.312; 0.351</t>
  </si>
  <si>
    <t>0.34; 0.349</t>
  </si>
  <si>
    <t>0.316; 0.361</t>
  </si>
  <si>
    <r>
      <rPr>
        <b/>
        <sz val="11"/>
        <color rgb="FF000000"/>
        <rFont val="72 Condensed"/>
        <charset val="134"/>
      </rPr>
      <t xml:space="preserve">Systolic BP </t>
    </r>
    <r>
      <rPr>
        <sz val="11"/>
        <color rgb="FF000000"/>
        <rFont val="72 Condensed"/>
        <charset val="134"/>
      </rPr>
      <t>(mm Hg)</t>
    </r>
  </si>
  <si>
    <t>120; 126</t>
  </si>
  <si>
    <t>109; 136</t>
  </si>
  <si>
    <t>117; 126</t>
  </si>
  <si>
    <t>110; 134</t>
  </si>
  <si>
    <r>
      <rPr>
        <b/>
        <sz val="11"/>
        <color rgb="FF000000"/>
        <rFont val="72 Condensed"/>
        <charset val="134"/>
      </rPr>
      <t xml:space="preserve">Diastolic BP </t>
    </r>
    <r>
      <rPr>
        <sz val="11"/>
        <color rgb="FF000000"/>
        <rFont val="72 Condensed"/>
        <charset val="134"/>
      </rPr>
      <t>(mm Hg)</t>
    </r>
  </si>
  <si>
    <t>78; 82</t>
  </si>
  <si>
    <t>72; 89.8</t>
  </si>
  <si>
    <t>76; 81</t>
  </si>
  <si>
    <t>69; 86</t>
  </si>
  <si>
    <t>1876; 1964</t>
  </si>
  <si>
    <t>1742; 2132</t>
  </si>
  <si>
    <t>1888; 2015</t>
  </si>
  <si>
    <t>1764; 2175</t>
  </si>
  <si>
    <t>15; 16.9</t>
  </si>
  <si>
    <t>13.7; 18.4</t>
  </si>
  <si>
    <t>18; 20.1</t>
  </si>
  <si>
    <t>16.6; 22</t>
  </si>
  <si>
    <t>538; 639</t>
  </si>
  <si>
    <t>438; 748</t>
  </si>
  <si>
    <t>597; 696</t>
  </si>
  <si>
    <t>499; 801</t>
  </si>
  <si>
    <t>957; 1042</t>
  </si>
  <si>
    <t>892; 1140</t>
  </si>
  <si>
    <t>1014; 1093</t>
  </si>
  <si>
    <t>940; 1159</t>
  </si>
  <si>
    <t>12.7; 13.4</t>
  </si>
  <si>
    <t>11.9; 14.4</t>
  </si>
  <si>
    <t>13.5; 14.2</t>
  </si>
  <si>
    <t>12.7; 14.8</t>
  </si>
  <si>
    <t>low</t>
  </si>
  <si>
    <t>1207; 1339</t>
  </si>
  <si>
    <t>1130; 1524</t>
  </si>
  <si>
    <t>1187; 1336</t>
  </si>
  <si>
    <t>1061; 1471</t>
  </si>
  <si>
    <t>2770; 3048</t>
  </si>
  <si>
    <t>2498; 3306</t>
  </si>
  <si>
    <t>3055; 3322</t>
  </si>
  <si>
    <t>2762; 3667</t>
  </si>
  <si>
    <t>221; 231</t>
  </si>
  <si>
    <t>202; 254</t>
  </si>
  <si>
    <t>243; 255</t>
  </si>
  <si>
    <t>231; 280</t>
  </si>
  <si>
    <t>10.3; 10.5</t>
  </si>
  <si>
    <t>10; 10.8</t>
  </si>
  <si>
    <t>10.3; 10.6</t>
  </si>
  <si>
    <t>10; 10.9</t>
  </si>
  <si>
    <t>1.25; 1.42</t>
  </si>
  <si>
    <t>1.09; 1.65</t>
  </si>
  <si>
    <t>1.45; 1.65</t>
  </si>
  <si>
    <t>1.34; 2.07</t>
  </si>
  <si>
    <t>2.98; 3.11</t>
  </si>
  <si>
    <t>2.76; 3.35</t>
  </si>
  <si>
    <t>3.12; 3.26</t>
  </si>
  <si>
    <t>2.91; 3.51</t>
  </si>
  <si>
    <t>753; 817</t>
  </si>
  <si>
    <t>698; 902</t>
  </si>
  <si>
    <t>776; 853</t>
  </si>
  <si>
    <t>700; 946</t>
  </si>
  <si>
    <t>1.05; 1.15</t>
  </si>
  <si>
    <t>0.902; 1.29</t>
  </si>
  <si>
    <t>0.957; 1.35</t>
  </si>
  <si>
    <t>96,6%</t>
  </si>
  <si>
    <t>95,2%</t>
  </si>
  <si>
    <t>1.57; 1.73</t>
  </si>
  <si>
    <t>1.39; 1.99</t>
  </si>
  <si>
    <t>1.63; 1.83</t>
  </si>
  <si>
    <t>1.48; 2.04</t>
  </si>
  <si>
    <t>15; 16.2</t>
  </si>
  <si>
    <t>13.5; 19.1</t>
  </si>
  <si>
    <t>15; 16.1</t>
  </si>
  <si>
    <t>13.6; 18.5</t>
  </si>
  <si>
    <t>4.63; 4.9</t>
  </si>
  <si>
    <t>4.27; 5.29</t>
  </si>
  <si>
    <t>4.8; 5.05</t>
  </si>
  <si>
    <t>4.5; 5.44</t>
  </si>
  <si>
    <t>1.3; 1.52</t>
  </si>
  <si>
    <t>1.07; 1.8</t>
  </si>
  <si>
    <t>1.29; 1.45</t>
  </si>
  <si>
    <t>318; 349</t>
  </si>
  <si>
    <t>301; 381</t>
  </si>
  <si>
    <t>347; 368</t>
  </si>
  <si>
    <t>321; 401</t>
  </si>
  <si>
    <t>7.1; 7.23</t>
  </si>
  <si>
    <t>6.97; 7.4</t>
  </si>
  <si>
    <t>7.08; 7.22</t>
  </si>
  <si>
    <t>6.96; 7.39</t>
  </si>
  <si>
    <t>Std. Error of Mean</t>
  </si>
  <si>
    <t>136; 154</t>
  </si>
  <si>
    <t>110.0; 189.0</t>
  </si>
  <si>
    <t>166; 185</t>
  </si>
  <si>
    <t>131.0; 220.0</t>
  </si>
  <si>
    <t>Lower 95% CI of mean</t>
  </si>
  <si>
    <t>0.0609; 0.106</t>
  </si>
  <si>
    <t>0.0258; 0.17</t>
  </si>
  <si>
    <t>0.0768; 0.114</t>
  </si>
  <si>
    <t>0.0285; 0.147</t>
  </si>
  <si>
    <t>Upper 95% CI of mean</t>
  </si>
  <si>
    <t>0.187; 0.27</t>
  </si>
  <si>
    <t>0.129; 0.391</t>
  </si>
  <si>
    <t>0.18; 0.248</t>
  </si>
  <si>
    <t>0.118; 0.368</t>
  </si>
  <si>
    <t>0.0628; 0.112</t>
  </si>
  <si>
    <t>0.0266; 0.239</t>
  </si>
  <si>
    <t>0.0303; 0.0599</t>
  </si>
  <si>
    <t>0.014; 0.133</t>
  </si>
  <si>
    <t>0.0528; 0.0957</t>
  </si>
  <si>
    <t>0.033; 0.185</t>
  </si>
  <si>
    <t>0.0898; 0.155</t>
  </si>
  <si>
    <t>0.0437; 0.251</t>
  </si>
  <si>
    <t>0.0579; 0.104</t>
  </si>
  <si>
    <t>0.0234; 0.163</t>
  </si>
  <si>
    <t>0.0685; 0.124</t>
  </si>
  <si>
    <t>0.0356; 0.183</t>
  </si>
  <si>
    <t>Model 1: Unadjusted, Model: Corrected for city of origin, sex, age range, alcohol intake (never, moderate and heavy drinking), and smoking status (never, former,  and current)</t>
  </si>
  <si>
    <t>_+ DB_Polyphenols$City+DB_Polyphenols$Sex+ DB_Polyphenols$Age_range + DB_Polyphenols$Alcohol+DB_Polyphenols$Tabaquismo_st</t>
  </si>
  <si>
    <t>E-DII BY TERTILES</t>
  </si>
  <si>
    <t>T1</t>
  </si>
  <si>
    <t>T2</t>
  </si>
  <si>
    <t>T3</t>
  </si>
  <si>
    <t>-0.603; -0.295</t>
  </si>
  <si>
    <t>-0.494; -0.355</t>
  </si>
  <si>
    <t>-0.0985; 0.15</t>
  </si>
  <si>
    <t>-0.0416; 0.0574</t>
  </si>
  <si>
    <t>0.365; 0.659</t>
  </si>
  <si>
    <t>0.421; 0.536</t>
  </si>
  <si>
    <t>32.25; 51</t>
  </si>
  <si>
    <t>41; 47</t>
  </si>
  <si>
    <t>32; 50</t>
  </si>
  <si>
    <t>38; 44</t>
  </si>
  <si>
    <t>28; 45</t>
  </si>
  <si>
    <t>35; 41</t>
  </si>
  <si>
    <t>Age (years)</t>
  </si>
  <si>
    <t>868.17; 1816.9</t>
  </si>
  <si>
    <t>1121.2; 1514.9</t>
  </si>
  <si>
    <t>716.48; 1428.3</t>
  </si>
  <si>
    <t>827.42; 1129.3</t>
  </si>
  <si>
    <t>462.69; 1119.1</t>
  </si>
  <si>
    <t>595.19; 807.32</t>
  </si>
  <si>
    <t>60.98; 80.35</t>
  </si>
  <si>
    <t>65.2; 71.4</t>
  </si>
  <si>
    <t>63.2; 83.8</t>
  </si>
  <si>
    <t>69.6; 77.4</t>
  </si>
  <si>
    <t>64.65; 86.35</t>
  </si>
  <si>
    <t>70.8; 80.8</t>
  </si>
  <si>
    <t>Weight (kg)</t>
  </si>
  <si>
    <t>23.03; 29.03</t>
  </si>
  <si>
    <t>24.45; 26.81</t>
  </si>
  <si>
    <t>24.37; 29.91</t>
  </si>
  <si>
    <t>25.96; 28.07</t>
  </si>
  <si>
    <t>24.85; 32.02</t>
  </si>
  <si>
    <t>27.06; 29.51</t>
  </si>
  <si>
    <t>BMI (kg/m2)</t>
  </si>
  <si>
    <t>80.98; 97.25</t>
  </si>
  <si>
    <t>84.4; 92.3</t>
  </si>
  <si>
    <t>82.5; 101.3</t>
  </si>
  <si>
    <t>89.2; 96.6</t>
  </si>
  <si>
    <t>94.05*</t>
  </si>
  <si>
    <t>83.25; 101.8</t>
  </si>
  <si>
    <t>90.4; 97.6</t>
  </si>
  <si>
    <t>Waist circumference (cm)</t>
  </si>
  <si>
    <t>25.68; 38.32</t>
  </si>
  <si>
    <t>29.27; 34.45</t>
  </si>
  <si>
    <t>29.11; 39.94</t>
  </si>
  <si>
    <t>31.21; 35.68</t>
  </si>
  <si>
    <t>35.6*</t>
  </si>
  <si>
    <t>29.63; 40.27</t>
  </si>
  <si>
    <t>33.45; 37.48</t>
  </si>
  <si>
    <t>1.01; 8.61</t>
  </si>
  <si>
    <t>1.98; 9.20</t>
  </si>
  <si>
    <t>3.62; 6.37</t>
  </si>
  <si>
    <t>2.68; 11.5</t>
  </si>
  <si>
    <t>5.33; 8.48</t>
  </si>
  <si>
    <t>Leptin (ng/mL)</t>
  </si>
  <si>
    <t>3.95; 8.52</t>
  </si>
  <si>
    <t>5.27; 7.25</t>
  </si>
  <si>
    <t>4.31; 8.34</t>
  </si>
  <si>
    <t>5.18; 6.51</t>
  </si>
  <si>
    <t>3.84; 7.87</t>
  </si>
  <si>
    <t>4.99; 6.14</t>
  </si>
  <si>
    <t>Adiponectin (µg/ml)</t>
  </si>
  <si>
    <t>0.21; 1.4</t>
  </si>
  <si>
    <t>0.49; 0.85</t>
  </si>
  <si>
    <t>0.34; 1.4</t>
  </si>
  <si>
    <t>0.65; 0.95</t>
  </si>
  <si>
    <t>0.58; 2</t>
  </si>
  <si>
    <t>0.82; 1.4</t>
  </si>
  <si>
    <t>76.95; 101.00</t>
  </si>
  <si>
    <t>88.60; 95.90</t>
  </si>
  <si>
    <t>75.70; 108.00</t>
  </si>
  <si>
    <t>85.30; 95.50</t>
  </si>
  <si>
    <t>81.18; 115.75</t>
  </si>
  <si>
    <t>91.4; 104</t>
  </si>
  <si>
    <t>ApoB (mg/dL)</t>
  </si>
  <si>
    <t>37; 53.75</t>
  </si>
  <si>
    <t>37; 54</t>
  </si>
  <si>
    <t>40; 47</t>
  </si>
  <si>
    <t>40; 46</t>
  </si>
  <si>
    <t>16.85; 34.75</t>
  </si>
  <si>
    <t>22.4; 28</t>
  </si>
  <si>
    <t>16.4; 36</t>
  </si>
  <si>
    <t>21; 29.8</t>
  </si>
  <si>
    <t>17.7; 35.9</t>
  </si>
  <si>
    <t>22; 27.2</t>
  </si>
  <si>
    <t>93.75; 135</t>
  </si>
  <si>
    <t>106; 122</t>
  </si>
  <si>
    <t>95; 133</t>
  </si>
  <si>
    <t>104; 120</t>
  </si>
  <si>
    <t>92.75; 136.8</t>
  </si>
  <si>
    <t>105; 121</t>
  </si>
  <si>
    <t>165; 209.75</t>
  </si>
  <si>
    <t>179; 193</t>
  </si>
  <si>
    <t>163; 205</t>
  </si>
  <si>
    <t>175; 191</t>
  </si>
  <si>
    <t>164; 211.75</t>
  </si>
  <si>
    <t>175; 194</t>
  </si>
  <si>
    <t>82.5; 170.5</t>
  </si>
  <si>
    <t>112; 139</t>
  </si>
  <si>
    <t>82; 176</t>
  </si>
  <si>
    <t>105; 149</t>
  </si>
  <si>
    <t>88.75; 179.5</t>
  </si>
  <si>
    <t>109; 138</t>
  </si>
  <si>
    <t>3.46; 4.93</t>
  </si>
  <si>
    <t>3.75; 4.51</t>
  </si>
  <si>
    <t>3.29; 5.27</t>
  </si>
  <si>
    <t>3.84; 4.5</t>
  </si>
  <si>
    <t>3.38; 5.27</t>
  </si>
  <si>
    <t>3.96; 4.65</t>
  </si>
  <si>
    <t>0.22; 0.69</t>
  </si>
  <si>
    <t>0.36; 0.51</t>
  </si>
  <si>
    <t>0.24; 0.67</t>
  </si>
  <si>
    <t>0.37; 0.55</t>
  </si>
  <si>
    <t>0.24; 0.69</t>
  </si>
  <si>
    <t>0.33; 0.57</t>
  </si>
  <si>
    <t>71.53; 177.53</t>
  </si>
  <si>
    <t>99; 135.8</t>
  </si>
  <si>
    <t>98.90; 208.20</t>
  </si>
  <si>
    <t>136.30; 174.80</t>
  </si>
  <si>
    <t>106.53; 216.58</t>
  </si>
  <si>
    <t>137.90; 178.30</t>
  </si>
  <si>
    <t>Creatinine (mg/dL)</t>
  </si>
  <si>
    <t>0.9; 2.85</t>
  </si>
  <si>
    <t>1.1; 2</t>
  </si>
  <si>
    <t>1.3; 3.5</t>
  </si>
  <si>
    <t>1.7; 2.5</t>
  </si>
  <si>
    <t>1.3; 4.0825</t>
  </si>
  <si>
    <t>1.8; 2.9</t>
  </si>
  <si>
    <t>hsCRP (mg/L)</t>
  </si>
  <si>
    <t>83; 87</t>
  </si>
  <si>
    <t>81; 92</t>
  </si>
  <si>
    <t>84; 88</t>
  </si>
  <si>
    <t>81; 93.5</t>
  </si>
  <si>
    <t>Fasting glucose (mmol/L)</t>
  </si>
  <si>
    <t>7.33; 15.5</t>
  </si>
  <si>
    <t>8.52; 11.5</t>
  </si>
  <si>
    <t>6.97; 15.7</t>
  </si>
  <si>
    <t>8.78; 11.9</t>
  </si>
  <si>
    <t>12.10*</t>
  </si>
  <si>
    <t>8.98; 18.8</t>
  </si>
  <si>
    <t>10.7; 15</t>
  </si>
  <si>
    <t>Fasting insulin (µU/ml)</t>
  </si>
  <si>
    <t>5.22; 5.7</t>
  </si>
  <si>
    <t>5.4; 5.6</t>
  </si>
  <si>
    <t>5.27; 5.7</t>
  </si>
  <si>
    <t>5.4; 5.55</t>
  </si>
  <si>
    <t>110.18; 259.07</t>
  </si>
  <si>
    <t>147.49; 206.08</t>
  </si>
  <si>
    <t>112.83; 253.76</t>
  </si>
  <si>
    <t>145.86; 203.75</t>
  </si>
  <si>
    <t>135.08; 287.72</t>
  </si>
  <si>
    <t>170.02; 215.46</t>
  </si>
  <si>
    <t>28.92; 65.92</t>
  </si>
  <si>
    <t>41.38; 53.75</t>
  </si>
  <si>
    <t>27.2; 70.68</t>
  </si>
  <si>
    <t>40.21; 54.12</t>
  </si>
  <si>
    <t>25.68; 55.73</t>
  </si>
  <si>
    <t>30.64; 46.16</t>
  </si>
  <si>
    <t>1.52; 3.46</t>
  </si>
  <si>
    <t>1.86; 2.42</t>
  </si>
  <si>
    <t>1.41; 3.68</t>
  </si>
  <si>
    <t>1.85; 2.49</t>
  </si>
  <si>
    <t>1.79; 3.89</t>
  </si>
  <si>
    <t>2.17; 3.26</t>
  </si>
  <si>
    <t>0.317; 0.358</t>
  </si>
  <si>
    <t>0.334; 0.347</t>
  </si>
  <si>
    <t>0.315; 0.362</t>
  </si>
  <si>
    <t>0.332; 0.347</t>
  </si>
  <si>
    <t>0.312; 0.349</t>
  </si>
  <si>
    <t>0.32; 0.339</t>
  </si>
  <si>
    <t>113; 136</t>
  </si>
  <si>
    <t>119; 127</t>
  </si>
  <si>
    <t>108; 135</t>
  </si>
  <si>
    <t>119; 126</t>
  </si>
  <si>
    <t>109; 134</t>
  </si>
  <si>
    <t>115; 128</t>
  </si>
  <si>
    <t>77; 84</t>
  </si>
  <si>
    <t>70.0; 88.0</t>
  </si>
  <si>
    <t>77.0; 81.0</t>
  </si>
  <si>
    <t>70.25; 87.75</t>
  </si>
  <si>
    <t>1763.82; 2187.29</t>
  </si>
  <si>
    <t>1909.92; 2055.12</t>
  </si>
  <si>
    <t>1762.65; 2138.69</t>
  </si>
  <si>
    <t>1877.83; 1976.92</t>
  </si>
  <si>
    <t>1742.46; 2116.84</t>
  </si>
  <si>
    <t>1823.61; 1963.55</t>
  </si>
  <si>
    <t>18.03; 23.61</t>
  </si>
  <si>
    <t>19.44; 21.52</t>
  </si>
  <si>
    <t>16.15; 19.96</t>
  </si>
  <si>
    <t>17; 18.07</t>
  </si>
  <si>
    <t>12.39; 16.49</t>
  </si>
  <si>
    <t>13.41; 14.68</t>
  </si>
  <si>
    <t>508.29; 779.61</t>
  </si>
  <si>
    <t>606.85; 715.86</t>
  </si>
  <si>
    <t>492.23; 789.88</t>
  </si>
  <si>
    <t>558.77; 656.64</t>
  </si>
  <si>
    <t>414.82; 745.54</t>
  </si>
  <si>
    <t>489.41; 646.87</t>
  </si>
  <si>
    <t>963.72; 1162.10</t>
  </si>
  <si>
    <t>1010.70; 1116.20</t>
  </si>
  <si>
    <t>931.22; 1158.10</t>
  </si>
  <si>
    <t>990.23; 1099</t>
  </si>
  <si>
    <t>830.75; 1091.30</t>
  </si>
  <si>
    <t>914.75; 1030.70</t>
  </si>
  <si>
    <t>13.3; 15.29</t>
  </si>
  <si>
    <t>13.74; 14.58</t>
  </si>
  <si>
    <t>12.55; 14.55</t>
  </si>
  <si>
    <t>13.29; 13.93</t>
  </si>
  <si>
    <t>11.49; 13.51</t>
  </si>
  <si>
    <t>12.01; 12.8</t>
  </si>
  <si>
    <t>1130.06; 1511.51</t>
  </si>
  <si>
    <t>1187.43; 1343.01</t>
  </si>
  <si>
    <t>1048.6; 1515.91</t>
  </si>
  <si>
    <t>1174.21; 1335.78</t>
  </si>
  <si>
    <t>1078.86; 1476.36</t>
  </si>
  <si>
    <t>1207.05; 1354.3</t>
  </si>
  <si>
    <t>3039.3; 3795.52</t>
  </si>
  <si>
    <t>3184.46; 3534.24</t>
  </si>
  <si>
    <t>2690.76; 3342.14</t>
  </si>
  <si>
    <t>2859.91; 3159.93</t>
  </si>
  <si>
    <t>2328.35; 3109.23</t>
  </si>
  <si>
    <t>2582.51; 2811.48</t>
  </si>
  <si>
    <t>241.37; 288.4</t>
  </si>
  <si>
    <t>252.48; 272.83</t>
  </si>
  <si>
    <t>220.6; 259.45</t>
  </si>
  <si>
    <t>231.67; 244.29</t>
  </si>
  <si>
    <t>190.27; 239.98</t>
  </si>
  <si>
    <t>206.69; 221.33</t>
  </si>
  <si>
    <t>10.11; 10.92</t>
  </si>
  <si>
    <t>10.33; 10.65</t>
  </si>
  <si>
    <t>10.02; 10.83</t>
  </si>
  <si>
    <t>10.34; 10.65</t>
  </si>
  <si>
    <t>9.833; 10.63</t>
  </si>
  <si>
    <t>10.11; 10.39</t>
  </si>
  <si>
    <t>1.45; 2.51</t>
  </si>
  <si>
    <t>1.65; 2.06</t>
  </si>
  <si>
    <t>1.26; 1.7</t>
  </si>
  <si>
    <t>1.39; 1.51</t>
  </si>
  <si>
    <t>1.00; 1.42</t>
  </si>
  <si>
    <t>1.1; 1.27</t>
  </si>
  <si>
    <t>3.08; 3.58</t>
  </si>
  <si>
    <t>3.17; 3.37</t>
  </si>
  <si>
    <t>2.91; 3.39</t>
  </si>
  <si>
    <t>3.05; 3.24</t>
  </si>
  <si>
    <t>2.57; 3.17</t>
  </si>
  <si>
    <t>2.79; 3.02</t>
  </si>
  <si>
    <t>774.51; 999.9</t>
  </si>
  <si>
    <t>836.11; 938.39</t>
  </si>
  <si>
    <t>723.2; 913.11</t>
  </si>
  <si>
    <t>771.96; 831.98</t>
  </si>
  <si>
    <t>611.18; 809.41</t>
  </si>
  <si>
    <t>685.14; 740.91</t>
  </si>
  <si>
    <t>1.08; 1.45</t>
  </si>
  <si>
    <t>1.21; 1.34</t>
  </si>
  <si>
    <t>0.969; 1.31</t>
  </si>
  <si>
    <t>1.05; 1.16</t>
  </si>
  <si>
    <t>0.834; 1.14</t>
  </si>
  <si>
    <t>0.902; 1</t>
  </si>
  <si>
    <t>1.55; 2.15</t>
  </si>
  <si>
    <t>1.7; 1.89</t>
  </si>
  <si>
    <t>1.43; 2.04</t>
  </si>
  <si>
    <t>1.6; 1.86</t>
  </si>
  <si>
    <t>1.35; 1.89</t>
  </si>
  <si>
    <t>1.47; 1.66</t>
  </si>
  <si>
    <t>15.02; 21.01</t>
  </si>
  <si>
    <t>16.27; 18.8</t>
  </si>
  <si>
    <t>13.66; 18.5</t>
  </si>
  <si>
    <t>14.92; 16.23</t>
  </si>
  <si>
    <t>12.71; 16.09</t>
  </si>
  <si>
    <t>13.66; 15.24</t>
  </si>
  <si>
    <t>4.65; 5.64</t>
  </si>
  <si>
    <t>4.9; 5.3</t>
  </si>
  <si>
    <t>4.47; 5.26</t>
  </si>
  <si>
    <t>4.71; 5.06</t>
  </si>
  <si>
    <t>4.12; 4.95</t>
  </si>
  <si>
    <t>4.39; 4.71</t>
  </si>
  <si>
    <t>1.29; 2.21</t>
  </si>
  <si>
    <t>1.46; 1.8</t>
  </si>
  <si>
    <t>1.02; 1.74</t>
  </si>
  <si>
    <t>1.22; 1.49</t>
  </si>
  <si>
    <t>0.974; 1.52</t>
  </si>
  <si>
    <t>1.13; 1.4</t>
  </si>
  <si>
    <t>346.92; 426.36</t>
  </si>
  <si>
    <t>362.65; 397.31</t>
  </si>
  <si>
    <t>311.73; 393.8</t>
  </si>
  <si>
    <t>334.15; 362.57</t>
  </si>
  <si>
    <t>288.69; 344.18</t>
  </si>
  <si>
    <t>306.15; 319.87</t>
  </si>
  <si>
    <t>0.033; 0.18</t>
  </si>
  <si>
    <t>0.061; 0.13</t>
  </si>
  <si>
    <t>0.034; 0.18</t>
  </si>
  <si>
    <t>0.085; 0.13</t>
  </si>
  <si>
    <t>0.02; 0.16</t>
  </si>
  <si>
    <t>171; 241</t>
  </si>
  <si>
    <t>197; 220</t>
  </si>
  <si>
    <t>125; 189</t>
  </si>
  <si>
    <t>144; 171</t>
  </si>
  <si>
    <t>94.4; 146</t>
  </si>
  <si>
    <t>107; 131</t>
  </si>
  <si>
    <t xml:space="preserve"> </t>
  </si>
  <si>
    <t>0.055; 0.13</t>
  </si>
  <si>
    <t>0.028; 0.16</t>
  </si>
  <si>
    <t>0.063; 0.12</t>
  </si>
  <si>
    <t>0.026; 0.17</t>
  </si>
  <si>
    <t>0.061; 0.11</t>
  </si>
  <si>
    <t>0.12; 0.37</t>
  </si>
  <si>
    <t>0.17; 0.27</t>
  </si>
  <si>
    <t>0.18; 0.31</t>
  </si>
  <si>
    <t>0.13; 0.38</t>
  </si>
  <si>
    <t>0.18; 0.25</t>
  </si>
  <si>
    <t>0.021; 0.18</t>
  </si>
  <si>
    <t>0.04; 0.1</t>
  </si>
  <si>
    <t>0.019; 0.16</t>
  </si>
  <si>
    <t>0.037; 0.084</t>
  </si>
  <si>
    <t>0.023; 0.24</t>
  </si>
  <si>
    <t>0.042; 0.1</t>
  </si>
  <si>
    <t>0.041; 0.23</t>
  </si>
  <si>
    <t>0.065; 0.14</t>
  </si>
  <si>
    <t>0.033; 0.21</t>
  </si>
  <si>
    <t>0.072; 0.13</t>
  </si>
  <si>
    <t>0.034; 0.22</t>
  </si>
  <si>
    <t>0.046; 0.095</t>
  </si>
  <si>
    <t>Modelo 3</t>
  </si>
  <si>
    <t>Modelo 4</t>
  </si>
  <si>
    <t>Variable</t>
  </si>
  <si>
    <t>n_proinflamatoria</t>
  </si>
  <si>
    <t>Mean_proinflamatoria</t>
  </si>
  <si>
    <t>SD_proinflamatoria</t>
  </si>
  <si>
    <t>CI_Lower_proinflamatoria</t>
  </si>
  <si>
    <t>CI_Upper_proinflamatoria</t>
  </si>
  <si>
    <t>Median_proinflamatoria</t>
  </si>
  <si>
    <t>Percentile_25_proinflamatoria</t>
  </si>
  <si>
    <t>Percentile_75_proinflamatoria</t>
  </si>
  <si>
    <t>CI_Median_Lower_proinflamatoria</t>
  </si>
  <si>
    <t>CI_Median_Upper_proinflamatoria</t>
  </si>
  <si>
    <t>n_antiinflamatoria</t>
  </si>
  <si>
    <t>Mean_antiinflamatoria</t>
  </si>
  <si>
    <t>SD_antiinflamatoria</t>
  </si>
  <si>
    <t>CI_Lower_antiinflamatoria</t>
  </si>
  <si>
    <t>CI_Upper_antiinflamatoria</t>
  </si>
  <si>
    <t>Median_antiinflamatoria</t>
  </si>
  <si>
    <t>Percentile_25_antiinflamatoria</t>
  </si>
  <si>
    <t>Percentile_75_antiinflamatoria</t>
  </si>
  <si>
    <t>CI_Median_Lower_antiinflamatoria</t>
  </si>
  <si>
    <t>CI_Median_Upper_antiinflamatoria</t>
  </si>
  <si>
    <t>p_value</t>
  </si>
  <si>
    <t>GlucosemmolL</t>
  </si>
  <si>
    <t>betacellfunction</t>
  </si>
  <si>
    <t>InsulinSensibility</t>
  </si>
  <si>
    <t>Height</t>
  </si>
  <si>
    <t>Percfat</t>
  </si>
  <si>
    <t>AceticAFeces</t>
  </si>
  <si>
    <t>PropionicAFeces</t>
  </si>
  <si>
    <t>ButyricAFeces</t>
  </si>
  <si>
    <t>IsobutyricAFeces</t>
  </si>
  <si>
    <t>Acetic.A.Plasma</t>
  </si>
  <si>
    <t>Propionic.A.Plasma</t>
  </si>
  <si>
    <t>Isobutyric.A.Plasmas</t>
  </si>
  <si>
    <t>Butyric.A.Plasma</t>
  </si>
  <si>
    <t>Valeric.A.Plasma</t>
  </si>
  <si>
    <t>DIIscore</t>
  </si>
  <si>
    <t>TPCChr</t>
  </si>
  <si>
    <t>Chromatographyonly</t>
  </si>
  <si>
    <t>ChromatographyAH</t>
  </si>
  <si>
    <t>T.Flavonoids</t>
  </si>
  <si>
    <t>T.Phenolic.A</t>
  </si>
  <si>
    <t>Otherpolyphenolschr</t>
  </si>
  <si>
    <t>Otherpolyphenolschrah</t>
  </si>
  <si>
    <t>NA</t>
  </si>
  <si>
    <t>T.Otherpolyphenols</t>
  </si>
  <si>
    <t>Lignanschr.otu</t>
  </si>
  <si>
    <t>Lignanschrah.otu</t>
  </si>
  <si>
    <t>T.Lignans</t>
  </si>
  <si>
    <t>Stilbeneschr</t>
  </si>
  <si>
    <t>S.Alkylphenolschr</t>
  </si>
  <si>
    <t>S.Anthocyaninschr</t>
  </si>
  <si>
    <t>S.Curcuminoidschr</t>
  </si>
  <si>
    <t>S.Flavanolschr</t>
  </si>
  <si>
    <t>S.Flavanoneschr</t>
  </si>
  <si>
    <t>S.Flavanoneschrah</t>
  </si>
  <si>
    <t>T.Subgroup.Flavanones</t>
  </si>
  <si>
    <t>S.Flavoneschr</t>
  </si>
  <si>
    <t>S.Flavoneschrah</t>
  </si>
  <si>
    <t>T.Subgroup.Flavones</t>
  </si>
  <si>
    <t>S.Flavonolschr</t>
  </si>
  <si>
    <t>S.Flavonolschrah</t>
  </si>
  <si>
    <t>T.Subgroup.Flavonols</t>
  </si>
  <si>
    <t>S.Hydroxybenzoicacidschr</t>
  </si>
  <si>
    <t>S.Hydroxybenzoicacidschrah</t>
  </si>
  <si>
    <t>T.Subgroup.Hydroxybenzoicacids</t>
  </si>
  <si>
    <t>S.Hydroxycinnamicacidschr</t>
  </si>
  <si>
    <t>S.Hydroxycinnamicacidschrah</t>
  </si>
  <si>
    <t>T.Subgroup.Hydroxycinnamicacids</t>
  </si>
  <si>
    <t>S.Lignanschr</t>
  </si>
  <si>
    <t>S.Lignanschrah</t>
  </si>
  <si>
    <t>T.Subgroup.Lignans</t>
  </si>
  <si>
    <t>TPCFolinKCALAdj</t>
  </si>
  <si>
    <t>TPCChrKCALAdj</t>
  </si>
  <si>
    <t>T.FlavonoidsKCALAdj</t>
  </si>
  <si>
    <t>T.Phenolic.AKCALAdj</t>
  </si>
  <si>
    <t>Pronflammatory</t>
  </si>
  <si>
    <t>Antiinflammatory</t>
  </si>
  <si>
    <t>Mann-Whitney</t>
  </si>
  <si>
    <t>Mean ± 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</si>
</sst>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000"/>
    <numFmt numFmtId="180" formatCode="0.0"/>
  </numFmts>
  <fonts count="57">
    <font>
      <sz val="11"/>
      <color theme="1"/>
      <name val="Calibri"/>
      <charset val="134"/>
      <scheme val="minor"/>
    </font>
    <font>
      <sz val="10"/>
      <color theme="1"/>
      <name val="Condensed"/>
      <charset val="134"/>
    </font>
    <font>
      <b/>
      <sz val="11"/>
      <color rgb="FF000000"/>
      <name val="72 Condensed"/>
      <charset val="134"/>
    </font>
    <font>
      <i/>
      <sz val="11"/>
      <color rgb="FF000000"/>
      <name val="72 Condensed"/>
      <charset val="134"/>
    </font>
    <font>
      <sz val="11"/>
      <color rgb="FF000000"/>
      <name val="72 Condensed"/>
      <charset val="134"/>
    </font>
    <font>
      <b/>
      <sz val="11"/>
      <color theme="1"/>
      <name val="72 Condensed"/>
      <charset val="134"/>
    </font>
    <font>
      <sz val="11"/>
      <color theme="1"/>
      <name val="72 Condensed"/>
      <charset val="134"/>
    </font>
    <font>
      <sz val="11"/>
      <name val="72 Condensed"/>
      <charset val="134"/>
    </font>
    <font>
      <b/>
      <sz val="11"/>
      <color rgb="FF212121"/>
      <name val="72 Condensed"/>
      <charset val="134"/>
    </font>
    <font>
      <b/>
      <sz val="10"/>
      <color theme="1"/>
      <name val="Condensed"/>
      <charset val="134"/>
    </font>
    <font>
      <b/>
      <sz val="10"/>
      <color rgb="FF000000"/>
      <name val="Condensed"/>
      <charset val="134"/>
    </font>
    <font>
      <sz val="10"/>
      <color rgb="FF000000"/>
      <name val="Condensed"/>
      <charset val="134"/>
    </font>
    <font>
      <i/>
      <sz val="10"/>
      <color rgb="FF000000"/>
      <name val="Condensed"/>
      <charset val="134"/>
    </font>
    <font>
      <b/>
      <sz val="10"/>
      <name val="Condensed"/>
      <charset val="134"/>
    </font>
    <font>
      <sz val="10"/>
      <name val="Condensed"/>
      <charset val="134"/>
    </font>
    <font>
      <b/>
      <sz val="10"/>
      <color rgb="FF212121"/>
      <name val="Condensed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ondensed"/>
      <charset val="134"/>
    </font>
    <font>
      <b/>
      <sz val="11"/>
      <name val="72 Condensed"/>
      <charset val="134"/>
    </font>
    <font>
      <sz val="8"/>
      <color theme="1"/>
      <name val="72 Condensed"/>
      <charset val="134"/>
    </font>
    <font>
      <sz val="10"/>
      <color theme="1"/>
      <name val="Calibri"/>
      <charset val="134"/>
      <scheme val="minor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i/>
      <sz val="10"/>
      <color rgb="FF000000"/>
      <name val="Times New Roman"/>
      <charset val="134"/>
    </font>
    <font>
      <i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0"/>
      <color rgb="FF000000"/>
      <name val="Condensed"/>
      <charset val="134"/>
    </font>
    <font>
      <vertAlign val="superscript"/>
      <sz val="11"/>
      <color rgb="FF000000"/>
      <name val="72 Condensed"/>
      <charset val="134"/>
    </font>
    <font>
      <vertAlign val="superscript"/>
      <sz val="10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5" borderId="10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" borderId="13" applyNumberFormat="0" applyAlignment="0" applyProtection="0">
      <alignment vertical="center"/>
    </xf>
    <xf numFmtId="0" fontId="44" fillId="7" borderId="14" applyNumberFormat="0" applyAlignment="0" applyProtection="0">
      <alignment vertical="center"/>
    </xf>
    <xf numFmtId="0" fontId="45" fillId="7" borderId="13" applyNumberFormat="0" applyAlignment="0" applyProtection="0">
      <alignment vertical="center"/>
    </xf>
    <xf numFmtId="0" fontId="46" fillId="8" borderId="15" applyNumberForma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</cellStyleXfs>
  <cellXfs count="2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right" vertical="center" wrapText="1"/>
    </xf>
    <xf numFmtId="2" fontId="1" fillId="0" borderId="0" xfId="0" applyNumberFormat="1" applyFont="1" applyAlignment="1">
      <alignment horizontal="center"/>
    </xf>
    <xf numFmtId="178" fontId="0" fillId="0" borderId="0" xfId="0" applyNumberFormat="1" applyAlignment="1">
      <alignment horizontal="center"/>
    </xf>
    <xf numFmtId="2" fontId="4" fillId="2" borderId="0" xfId="0" applyNumberFormat="1" applyFont="1" applyFill="1" applyAlignment="1">
      <alignment horizontal="right" vertical="center" wrapText="1"/>
    </xf>
    <xf numFmtId="178" fontId="4" fillId="2" borderId="0" xfId="0" applyNumberFormat="1" applyFont="1" applyFill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178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178" fontId="7" fillId="2" borderId="0" xfId="0" applyNumberFormat="1" applyFont="1" applyFill="1" applyAlignment="1">
      <alignment horizontal="center"/>
    </xf>
    <xf numFmtId="179" fontId="6" fillId="0" borderId="0" xfId="0" applyNumberFormat="1" applyFont="1" applyAlignment="1">
      <alignment horizontal="center"/>
    </xf>
    <xf numFmtId="2" fontId="0" fillId="0" borderId="0" xfId="0" applyNumberFormat="1" applyAlignment="1"/>
    <xf numFmtId="0" fontId="8" fillId="0" borderId="0" xfId="0" applyFont="1" applyAlignment="1">
      <alignment vertical="center" wrapText="1"/>
    </xf>
    <xf numFmtId="1" fontId="6" fillId="0" borderId="4" xfId="0" applyNumberFormat="1" applyFont="1" applyBorder="1" applyAlignment="1">
      <alignment horizontal="center"/>
    </xf>
    <xf numFmtId="178" fontId="6" fillId="0" borderId="4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" fillId="2" borderId="0" xfId="0" applyFont="1" applyFill="1"/>
    <xf numFmtId="0" fontId="11" fillId="0" borderId="0" xfId="0" applyFont="1" applyAlignment="1">
      <alignment horizontal="right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79" fontId="9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178" fontId="13" fillId="0" borderId="0" xfId="0" applyNumberFormat="1" applyFont="1" applyAlignment="1">
      <alignment horizontal="center"/>
    </xf>
    <xf numFmtId="178" fontId="14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/>
    </xf>
    <xf numFmtId="178" fontId="17" fillId="0" borderId="0" xfId="0" applyNumberFormat="1" applyFont="1" applyAlignment="1">
      <alignment horizontal="center"/>
    </xf>
    <xf numFmtId="180" fontId="14" fillId="2" borderId="0" xfId="0" applyNumberFormat="1" applyFont="1" applyFill="1" applyAlignment="1">
      <alignment horizontal="center" vertical="center" wrapText="1"/>
    </xf>
    <xf numFmtId="179" fontId="17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horizontal="center"/>
    </xf>
    <xf numFmtId="178" fontId="18" fillId="0" borderId="0" xfId="0" applyNumberFormat="1" applyFont="1" applyAlignment="1">
      <alignment horizontal="center"/>
    </xf>
    <xf numFmtId="178" fontId="11" fillId="2" borderId="0" xfId="0" applyNumberFormat="1" applyFont="1" applyFill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6" fillId="0" borderId="0" xfId="0" applyFont="1"/>
    <xf numFmtId="0" fontId="6" fillId="2" borderId="0" xfId="0" applyFont="1" applyFill="1" applyAlignment="1">
      <alignment horizontal="center"/>
    </xf>
    <xf numFmtId="180" fontId="4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2" borderId="0" xfId="0" applyFont="1" applyFill="1"/>
    <xf numFmtId="0" fontId="2" fillId="0" borderId="0" xfId="0" applyFont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178" fontId="4" fillId="2" borderId="0" xfId="0" applyNumberFormat="1" applyFont="1" applyFill="1" applyAlignment="1">
      <alignment horizontal="center" vertical="center" wrapText="1"/>
    </xf>
    <xf numFmtId="178" fontId="20" fillId="2" borderId="0" xfId="0" applyNumberFormat="1" applyFont="1" applyFill="1" applyAlignment="1">
      <alignment horizontal="center"/>
    </xf>
    <xf numFmtId="178" fontId="2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Border="1" applyAlignment="1">
      <alignment horizontal="center" vertical="center" wrapText="1"/>
    </xf>
    <xf numFmtId="2" fontId="7" fillId="2" borderId="0" xfId="0" applyNumberFormat="1" applyFont="1" applyFill="1" applyAlignment="1">
      <alignment horizontal="center"/>
    </xf>
    <xf numFmtId="178" fontId="2" fillId="0" borderId="0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79" fontId="5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2" fillId="0" borderId="3" xfId="0" applyFont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1" fillId="0" borderId="6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horizontal="left" wrapText="1"/>
    </xf>
    <xf numFmtId="0" fontId="22" fillId="0" borderId="0" xfId="0" applyFont="1"/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0" fontId="11" fillId="3" borderId="0" xfId="0" applyNumberFormat="1" applyFont="1" applyFill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1" fontId="11" fillId="3" borderId="0" xfId="0" applyNumberFormat="1" applyFont="1" applyFill="1" applyAlignment="1">
      <alignment horizontal="center" vertical="center" wrapText="1"/>
    </xf>
    <xf numFmtId="180" fontId="11" fillId="2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80" fontId="11" fillId="2" borderId="1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 wrapText="1"/>
    </xf>
    <xf numFmtId="0" fontId="22" fillId="2" borderId="0" xfId="0" applyFont="1" applyFill="1"/>
    <xf numFmtId="180" fontId="22" fillId="2" borderId="0" xfId="0" applyNumberFormat="1" applyFont="1" applyFill="1"/>
    <xf numFmtId="2" fontId="11" fillId="2" borderId="0" xfId="0" applyNumberFormat="1" applyFont="1" applyFill="1" applyAlignment="1">
      <alignment horizontal="right" vertical="center" wrapText="1"/>
    </xf>
    <xf numFmtId="178" fontId="11" fillId="2" borderId="0" xfId="0" applyNumberFormat="1" applyFont="1" applyFill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80" fontId="11" fillId="0" borderId="1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78" fontId="17" fillId="2" borderId="0" xfId="0" applyNumberFormat="1" applyFont="1" applyFill="1" applyAlignment="1">
      <alignment horizontal="center"/>
    </xf>
    <xf numFmtId="178" fontId="10" fillId="0" borderId="0" xfId="0" applyNumberFormat="1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178" fontId="10" fillId="2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" fontId="11" fillId="2" borderId="8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3" fillId="0" borderId="9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4" borderId="0" xfId="0" applyFont="1" applyFill="1" applyAlignment="1">
      <alignment horizontal="right" vertical="center" wrapText="1"/>
    </xf>
    <xf numFmtId="0" fontId="23" fillId="4" borderId="0" xfId="0" applyFont="1" applyFill="1" applyAlignment="1">
      <alignment horizontal="center" vertical="center" wrapText="1"/>
    </xf>
    <xf numFmtId="180" fontId="23" fillId="4" borderId="0" xfId="0" applyNumberFormat="1" applyFont="1" applyFill="1" applyAlignment="1">
      <alignment horizontal="center" vertical="center" wrapText="1"/>
    </xf>
    <xf numFmtId="0" fontId="23" fillId="4" borderId="0" xfId="0" applyFont="1" applyFill="1" applyAlignment="1">
      <alignment vertical="center" wrapText="1"/>
    </xf>
    <xf numFmtId="0" fontId="25" fillId="4" borderId="0" xfId="0" applyFont="1" applyFill="1" applyAlignment="1">
      <alignment vertical="center" wrapText="1"/>
    </xf>
    <xf numFmtId="0" fontId="24" fillId="4" borderId="0" xfId="0" applyFont="1" applyFill="1" applyAlignment="1">
      <alignment vertical="center" wrapText="1"/>
    </xf>
    <xf numFmtId="0" fontId="24" fillId="4" borderId="0" xfId="0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80" fontId="24" fillId="4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2" fontId="23" fillId="0" borderId="0" xfId="0" applyNumberFormat="1" applyFont="1" applyFill="1" applyAlignment="1">
      <alignment horizontal="center" vertical="center" wrapText="1"/>
    </xf>
    <xf numFmtId="2" fontId="23" fillId="4" borderId="0" xfId="0" applyNumberFormat="1" applyFont="1" applyFill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25" fillId="4" borderId="4" xfId="0" applyFont="1" applyFill="1" applyBorder="1" applyAlignment="1">
      <alignment horizontal="right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left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9" fillId="4" borderId="0" xfId="0" applyFont="1" applyFill="1" applyBorder="1" applyAlignment="1">
      <alignment vertical="center" wrapText="1"/>
    </xf>
    <xf numFmtId="0" fontId="30" fillId="4" borderId="0" xfId="0" applyFont="1" applyFill="1" applyBorder="1" applyAlignment="1">
      <alignment horizontal="right" vertical="center" wrapText="1"/>
    </xf>
    <xf numFmtId="0" fontId="31" fillId="4" borderId="0" xfId="0" applyFont="1" applyFill="1" applyBorder="1" applyAlignment="1">
      <alignment horizontal="center" vertical="center" wrapText="1"/>
    </xf>
    <xf numFmtId="0" fontId="29" fillId="4" borderId="0" xfId="0" applyFont="1" applyFill="1" applyBorder="1" applyAlignment="1">
      <alignment horizontal="right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left" vertical="center" wrapText="1"/>
    </xf>
    <xf numFmtId="0" fontId="25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right" vertical="center" wrapText="1"/>
    </xf>
    <xf numFmtId="0" fontId="30" fillId="4" borderId="0" xfId="0" applyFont="1" applyFill="1" applyAlignment="1">
      <alignment horizontal="right" vertical="center" wrapText="1"/>
    </xf>
    <xf numFmtId="0" fontId="31" fillId="4" borderId="0" xfId="0" applyFont="1" applyFill="1" applyAlignment="1">
      <alignment horizontal="center" vertical="center" wrapText="1"/>
    </xf>
    <xf numFmtId="0" fontId="31" fillId="4" borderId="0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horizontal="left" wrapText="1"/>
    </xf>
    <xf numFmtId="0" fontId="28" fillId="4" borderId="3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28" fillId="4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right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2" fillId="4" borderId="0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wrapText="1"/>
    </xf>
    <xf numFmtId="0" fontId="31" fillId="4" borderId="0" xfId="0" applyFont="1" applyFill="1" applyBorder="1" applyAlignment="1">
      <alignment vertical="center" wrapText="1"/>
    </xf>
    <xf numFmtId="0" fontId="31" fillId="4" borderId="0" xfId="0" applyFont="1" applyFill="1" applyAlignment="1">
      <alignment vertical="center" wrapText="1"/>
    </xf>
    <xf numFmtId="0" fontId="0" fillId="0" borderId="4" xfId="0" applyBorder="1"/>
    <xf numFmtId="0" fontId="28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3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">
    <dxf>
      <font>
        <b val="1"/>
        <i val="0"/>
      </font>
    </dxf>
    <dxf>
      <font>
        <b val="1"/>
        <i val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G8" sqref="G8"/>
    </sheetView>
  </sheetViews>
  <sheetFormatPr defaultColWidth="11" defaultRowHeight="14.5" outlineLevelCol="4"/>
  <cols>
    <col min="1" max="1" width="21.6363636363636" customWidth="1"/>
    <col min="4" max="4" width="20.1818181818182" customWidth="1"/>
    <col min="5" max="5" width="15.4545454545455" customWidth="1"/>
  </cols>
  <sheetData>
    <row r="1" spans="1:5">
      <c r="A1" s="202"/>
      <c r="B1" s="203" t="s">
        <v>0</v>
      </c>
      <c r="C1" s="203" t="s">
        <v>1</v>
      </c>
      <c r="D1" s="202" t="s">
        <v>2</v>
      </c>
      <c r="E1" s="202" t="s">
        <v>3</v>
      </c>
    </row>
    <row r="2" ht="15.25" spans="1:5">
      <c r="A2" s="204"/>
      <c r="B2" s="205"/>
      <c r="C2" s="205"/>
      <c r="D2" s="204"/>
      <c r="E2" s="204" t="s">
        <v>2</v>
      </c>
    </row>
    <row r="3" spans="1:5">
      <c r="A3" s="206" t="s">
        <v>4</v>
      </c>
      <c r="B3" s="207" t="s">
        <v>5</v>
      </c>
      <c r="C3" s="207" t="s">
        <v>6</v>
      </c>
      <c r="D3" s="208" t="s">
        <v>7</v>
      </c>
      <c r="E3" s="208" t="s">
        <v>8</v>
      </c>
    </row>
    <row r="4" ht="26" spans="1:5">
      <c r="A4" s="206" t="s">
        <v>9</v>
      </c>
      <c r="B4" s="207" t="s">
        <v>10</v>
      </c>
      <c r="C4" s="207" t="s">
        <v>11</v>
      </c>
      <c r="D4" s="208" t="s">
        <v>12</v>
      </c>
      <c r="E4" s="208" t="s">
        <v>13</v>
      </c>
    </row>
    <row r="5" ht="26" spans="1:5">
      <c r="A5" s="206" t="s">
        <v>14</v>
      </c>
      <c r="B5" s="207" t="s">
        <v>15</v>
      </c>
      <c r="C5" s="207" t="s">
        <v>16</v>
      </c>
      <c r="D5" s="208" t="s">
        <v>17</v>
      </c>
      <c r="E5" s="207" t="s">
        <v>18</v>
      </c>
    </row>
    <row r="6" spans="1:5">
      <c r="A6" s="206" t="s">
        <v>19</v>
      </c>
      <c r="B6" s="208" t="s">
        <v>20</v>
      </c>
      <c r="C6" s="207" t="s">
        <v>21</v>
      </c>
      <c r="D6" s="208" t="s">
        <v>22</v>
      </c>
      <c r="E6" s="208" t="s">
        <v>23</v>
      </c>
    </row>
    <row r="7" spans="1:5">
      <c r="A7" s="206" t="s">
        <v>24</v>
      </c>
      <c r="B7" s="208" t="s">
        <v>25</v>
      </c>
      <c r="C7" s="207" t="s">
        <v>26</v>
      </c>
      <c r="D7" s="208" t="s">
        <v>27</v>
      </c>
      <c r="E7" s="208" t="s">
        <v>28</v>
      </c>
    </row>
    <row r="8" spans="1:5">
      <c r="A8" s="206" t="s">
        <v>29</v>
      </c>
      <c r="B8" s="207" t="s">
        <v>30</v>
      </c>
      <c r="C8" s="207" t="s">
        <v>31</v>
      </c>
      <c r="D8" s="208" t="s">
        <v>32</v>
      </c>
      <c r="E8" s="208" t="s">
        <v>33</v>
      </c>
    </row>
    <row r="9" spans="1:5">
      <c r="A9" s="206" t="s">
        <v>34</v>
      </c>
      <c r="B9" s="208" t="s">
        <v>35</v>
      </c>
      <c r="C9" s="207" t="s">
        <v>36</v>
      </c>
      <c r="D9" s="208" t="s">
        <v>37</v>
      </c>
      <c r="E9" s="208" t="s">
        <v>38</v>
      </c>
    </row>
    <row r="10" spans="1:5">
      <c r="A10" s="206" t="s">
        <v>39</v>
      </c>
      <c r="B10" s="207" t="s">
        <v>40</v>
      </c>
      <c r="C10" s="207" t="s">
        <v>41</v>
      </c>
      <c r="D10" s="208" t="s">
        <v>42</v>
      </c>
      <c r="E10" s="208" t="s">
        <v>43</v>
      </c>
    </row>
    <row r="11" spans="1:5">
      <c r="A11" s="206" t="s">
        <v>44</v>
      </c>
      <c r="B11" s="207" t="s">
        <v>45</v>
      </c>
      <c r="C11" s="207" t="s">
        <v>46</v>
      </c>
      <c r="D11" s="208" t="s">
        <v>47</v>
      </c>
      <c r="E11" s="208" t="s">
        <v>48</v>
      </c>
    </row>
    <row r="12" spans="1:5">
      <c r="A12" s="209" t="s">
        <v>49</v>
      </c>
      <c r="B12" s="207" t="s">
        <v>50</v>
      </c>
      <c r="C12" s="207" t="s">
        <v>51</v>
      </c>
      <c r="D12" s="207" t="s">
        <v>52</v>
      </c>
      <c r="E12" s="207" t="s">
        <v>53</v>
      </c>
    </row>
    <row r="13" spans="1:5">
      <c r="A13" s="206" t="s">
        <v>54</v>
      </c>
      <c r="B13" s="208" t="s">
        <v>55</v>
      </c>
      <c r="C13" s="207" t="s">
        <v>56</v>
      </c>
      <c r="D13" s="208" t="s">
        <v>57</v>
      </c>
      <c r="E13" s="208" t="s">
        <v>58</v>
      </c>
    </row>
    <row r="14" spans="1:5">
      <c r="A14" s="206" t="s">
        <v>59</v>
      </c>
      <c r="B14" s="208" t="s">
        <v>60</v>
      </c>
      <c r="C14" s="207" t="s">
        <v>61</v>
      </c>
      <c r="D14" s="208" t="s">
        <v>62</v>
      </c>
      <c r="E14" s="208" t="s">
        <v>63</v>
      </c>
    </row>
    <row r="15" spans="1:5">
      <c r="A15" s="206" t="s">
        <v>64</v>
      </c>
      <c r="B15" s="207" t="s">
        <v>65</v>
      </c>
      <c r="C15" s="207" t="s">
        <v>66</v>
      </c>
      <c r="D15" s="208" t="s">
        <v>67</v>
      </c>
      <c r="E15" s="208" t="s">
        <v>68</v>
      </c>
    </row>
    <row r="16" spans="1:5">
      <c r="A16" s="206" t="s">
        <v>69</v>
      </c>
      <c r="B16" s="207" t="s">
        <v>70</v>
      </c>
      <c r="C16" s="207" t="s">
        <v>71</v>
      </c>
      <c r="D16" s="208" t="s">
        <v>72</v>
      </c>
      <c r="E16" s="208" t="s">
        <v>73</v>
      </c>
    </row>
    <row r="17" spans="1:5">
      <c r="A17" s="206" t="s">
        <v>74</v>
      </c>
      <c r="B17" s="207" t="s">
        <v>75</v>
      </c>
      <c r="C17" s="207" t="s">
        <v>76</v>
      </c>
      <c r="D17" s="208" t="s">
        <v>77</v>
      </c>
      <c r="E17" s="208" t="s">
        <v>78</v>
      </c>
    </row>
    <row r="18" spans="1:5">
      <c r="A18" s="206" t="s">
        <v>79</v>
      </c>
      <c r="B18" s="208" t="s">
        <v>80</v>
      </c>
      <c r="C18" s="207" t="s">
        <v>81</v>
      </c>
      <c r="D18" s="208" t="s">
        <v>82</v>
      </c>
      <c r="E18" s="208" t="s">
        <v>83</v>
      </c>
    </row>
    <row r="19" spans="1:5">
      <c r="A19" s="206" t="s">
        <v>84</v>
      </c>
      <c r="B19" s="207" t="s">
        <v>85</v>
      </c>
      <c r="C19" s="207" t="s">
        <v>86</v>
      </c>
      <c r="D19" s="208" t="s">
        <v>87</v>
      </c>
      <c r="E19" s="208" t="s">
        <v>88</v>
      </c>
    </row>
    <row r="20" spans="1:5">
      <c r="A20" s="206" t="s">
        <v>89</v>
      </c>
      <c r="B20" s="207" t="s">
        <v>90</v>
      </c>
      <c r="C20" s="207" t="s">
        <v>91</v>
      </c>
      <c r="D20" s="208" t="s">
        <v>92</v>
      </c>
      <c r="E20" s="208" t="s">
        <v>92</v>
      </c>
    </row>
    <row r="21" spans="1:5">
      <c r="A21" s="206" t="s">
        <v>93</v>
      </c>
      <c r="B21" s="207" t="s">
        <v>94</v>
      </c>
      <c r="C21" s="208" t="s">
        <v>95</v>
      </c>
      <c r="D21" s="208" t="s">
        <v>92</v>
      </c>
      <c r="E21" s="208" t="s">
        <v>92</v>
      </c>
    </row>
    <row r="22" ht="15.25" spans="1:5">
      <c r="A22" s="210" t="s">
        <v>96</v>
      </c>
      <c r="B22" s="211" t="s">
        <v>97</v>
      </c>
      <c r="C22" s="211" t="s">
        <v>98</v>
      </c>
      <c r="D22" s="212" t="s">
        <v>99</v>
      </c>
      <c r="E22" s="212" t="s">
        <v>100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 verticalDpi="599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workbookViewId="0">
      <selection activeCell="H33" sqref="H33"/>
    </sheetView>
  </sheetViews>
  <sheetFormatPr defaultColWidth="11" defaultRowHeight="14.5"/>
  <cols>
    <col min="1" max="1" width="31.5454545454545" customWidth="1"/>
    <col min="2" max="2" width="23.1818181818182" customWidth="1"/>
    <col min="4" max="5" width="6.18181818181818" customWidth="1"/>
    <col min="6" max="6" width="6.27272727272727" customWidth="1"/>
    <col min="7" max="7" width="12.3636363636364" customWidth="1"/>
    <col min="8" max="8" width="11.9090909090909" customWidth="1"/>
    <col min="10" max="10" width="11" hidden="1" customWidth="1"/>
    <col min="11" max="11" width="14.6363636363636" hidden="1" customWidth="1"/>
    <col min="12" max="12" width="19.1818181818182" hidden="1" customWidth="1"/>
    <col min="13" max="13" width="5.54545454545455" hidden="1" customWidth="1"/>
    <col min="14" max="14" width="9.27272727272727" hidden="1" customWidth="1"/>
    <col min="15" max="15" width="5.81818181818182" hidden="1" customWidth="1"/>
    <col min="16" max="16" width="13.9090909090909" hidden="1" customWidth="1"/>
    <col min="17" max="17" width="13.1818181818182" hidden="1" customWidth="1"/>
    <col min="18" max="18" width="9" hidden="1" customWidth="1"/>
  </cols>
  <sheetData>
    <row r="1" ht="15.25"/>
    <row r="2" ht="15.25" spans="1:18">
      <c r="A2" s="152"/>
      <c r="B2" s="152"/>
      <c r="C2" s="153" t="s">
        <v>101</v>
      </c>
      <c r="D2" s="153" t="s">
        <v>102</v>
      </c>
      <c r="E2" s="153" t="s">
        <v>103</v>
      </c>
      <c r="F2" s="153" t="s">
        <v>0</v>
      </c>
      <c r="G2" s="153" t="s">
        <v>104</v>
      </c>
      <c r="H2" s="153" t="s">
        <v>105</v>
      </c>
      <c r="I2" s="153" t="s">
        <v>106</v>
      </c>
      <c r="K2" s="171" t="s">
        <v>107</v>
      </c>
      <c r="L2" s="171"/>
      <c r="M2" s="172" t="s">
        <v>101</v>
      </c>
      <c r="N2" s="172" t="s">
        <v>102</v>
      </c>
      <c r="O2" s="172" t="s">
        <v>103</v>
      </c>
      <c r="P2" s="172" t="s">
        <v>108</v>
      </c>
      <c r="Q2" s="172" t="s">
        <v>109</v>
      </c>
      <c r="R2" s="195" t="s">
        <v>106</v>
      </c>
    </row>
    <row r="3" spans="1:18">
      <c r="A3" s="154" t="s">
        <v>110</v>
      </c>
      <c r="B3" s="155" t="s">
        <v>111</v>
      </c>
      <c r="C3" s="156">
        <v>311</v>
      </c>
      <c r="D3" s="157">
        <v>1201.8</v>
      </c>
      <c r="E3" s="157">
        <v>871.9</v>
      </c>
      <c r="F3" s="156" t="s">
        <v>112</v>
      </c>
      <c r="G3" s="156" t="s">
        <v>113</v>
      </c>
      <c r="H3" s="156" t="s">
        <v>114</v>
      </c>
      <c r="I3" s="156"/>
      <c r="K3" s="173"/>
      <c r="L3" s="174" t="s">
        <v>111</v>
      </c>
      <c r="M3" s="175">
        <v>459</v>
      </c>
      <c r="N3" s="175">
        <v>0.09</v>
      </c>
      <c r="O3" s="175">
        <v>0.51</v>
      </c>
      <c r="P3" s="175">
        <v>0.05</v>
      </c>
      <c r="Q3" s="175">
        <v>0.14</v>
      </c>
      <c r="R3" s="196" t="s">
        <v>115</v>
      </c>
    </row>
    <row r="4" spans="1:18">
      <c r="A4" s="158" t="s">
        <v>116</v>
      </c>
      <c r="B4" s="155" t="s">
        <v>117</v>
      </c>
      <c r="C4" s="156">
        <v>153</v>
      </c>
      <c r="D4" s="156">
        <v>1170.4</v>
      </c>
      <c r="E4" s="156">
        <v>856.1</v>
      </c>
      <c r="F4" s="156" t="s">
        <v>118</v>
      </c>
      <c r="G4" s="156" t="s">
        <v>119</v>
      </c>
      <c r="H4" s="156" t="s">
        <v>120</v>
      </c>
      <c r="I4" s="156" t="s">
        <v>121</v>
      </c>
      <c r="K4" s="176" t="s">
        <v>116</v>
      </c>
      <c r="L4" s="174" t="s">
        <v>117</v>
      </c>
      <c r="M4" s="175">
        <v>237</v>
      </c>
      <c r="N4" s="175">
        <v>0.2</v>
      </c>
      <c r="O4" s="175">
        <v>0.56</v>
      </c>
      <c r="P4" s="175">
        <v>0.13</v>
      </c>
      <c r="Q4" s="175">
        <v>0.28</v>
      </c>
      <c r="R4" s="175" t="s">
        <v>122</v>
      </c>
    </row>
    <row r="5" spans="1:18">
      <c r="A5" s="158"/>
      <c r="B5" s="155" t="s">
        <v>123</v>
      </c>
      <c r="C5" s="156">
        <v>158</v>
      </c>
      <c r="D5" s="156">
        <v>1232.2</v>
      </c>
      <c r="E5" s="156">
        <v>888.6</v>
      </c>
      <c r="F5" s="156" t="s">
        <v>124</v>
      </c>
      <c r="G5" s="156" t="s">
        <v>125</v>
      </c>
      <c r="H5" s="156" t="s">
        <v>126</v>
      </c>
      <c r="I5" s="156"/>
      <c r="K5" s="176"/>
      <c r="L5" s="174" t="s">
        <v>123</v>
      </c>
      <c r="M5" s="175">
        <v>222</v>
      </c>
      <c r="N5" s="175">
        <v>-0.02</v>
      </c>
      <c r="O5" s="175">
        <v>0.42</v>
      </c>
      <c r="P5" s="175">
        <v>-0.08</v>
      </c>
      <c r="Q5" s="175">
        <v>0.03</v>
      </c>
      <c r="R5" s="175"/>
    </row>
    <row r="6" spans="1:18">
      <c r="A6" s="159" t="s">
        <v>127</v>
      </c>
      <c r="B6" s="155" t="s">
        <v>128</v>
      </c>
      <c r="C6" s="156">
        <v>147</v>
      </c>
      <c r="D6" s="156">
        <v>1139.42</v>
      </c>
      <c r="E6" s="156">
        <v>898.8</v>
      </c>
      <c r="F6" s="156" t="s">
        <v>129</v>
      </c>
      <c r="G6" s="156" t="s">
        <v>130</v>
      </c>
      <c r="H6" s="156" t="s">
        <v>131</v>
      </c>
      <c r="I6" s="156" t="s">
        <v>132</v>
      </c>
      <c r="K6" s="176" t="s">
        <v>133</v>
      </c>
      <c r="L6" s="174" t="s">
        <v>128</v>
      </c>
      <c r="M6" s="175">
        <v>219</v>
      </c>
      <c r="N6" s="175">
        <v>0.12</v>
      </c>
      <c r="O6" s="175">
        <v>0.46</v>
      </c>
      <c r="P6" s="175">
        <v>0.06</v>
      </c>
      <c r="Q6" s="175">
        <v>0.18</v>
      </c>
      <c r="R6" s="175">
        <v>0.099</v>
      </c>
    </row>
    <row r="7" spans="1:18">
      <c r="A7" s="159"/>
      <c r="B7" s="155" t="s">
        <v>134</v>
      </c>
      <c r="C7" s="156">
        <v>164</v>
      </c>
      <c r="D7" s="156">
        <v>1257.7</v>
      </c>
      <c r="E7" s="156">
        <v>845.9</v>
      </c>
      <c r="F7" s="156" t="s">
        <v>135</v>
      </c>
      <c r="G7" s="156" t="s">
        <v>136</v>
      </c>
      <c r="H7" s="156" t="s">
        <v>137</v>
      </c>
      <c r="I7" s="156"/>
      <c r="K7" s="176"/>
      <c r="L7" s="174" t="s">
        <v>138</v>
      </c>
      <c r="M7" s="177">
        <v>240</v>
      </c>
      <c r="N7" s="177">
        <v>0.07</v>
      </c>
      <c r="O7" s="177">
        <v>0.56</v>
      </c>
      <c r="P7" s="177">
        <v>0</v>
      </c>
      <c r="Q7" s="177">
        <v>0.14</v>
      </c>
      <c r="R7" s="177"/>
    </row>
    <row r="8" spans="1:18">
      <c r="A8" s="154" t="s">
        <v>139</v>
      </c>
      <c r="B8" s="154"/>
      <c r="C8" s="154"/>
      <c r="D8" s="154"/>
      <c r="E8" s="154"/>
      <c r="F8" s="154"/>
      <c r="G8" s="154"/>
      <c r="H8" s="154"/>
      <c r="I8" s="154"/>
      <c r="K8" s="178" t="s">
        <v>140</v>
      </c>
      <c r="L8" s="178"/>
      <c r="M8" s="178"/>
      <c r="N8" s="178"/>
      <c r="O8" s="178"/>
      <c r="P8" s="178"/>
      <c r="Q8" s="178"/>
      <c r="R8" s="178"/>
    </row>
    <row r="9" spans="1:18">
      <c r="A9" s="154"/>
      <c r="B9" s="155" t="s">
        <v>141</v>
      </c>
      <c r="C9" s="156">
        <v>311</v>
      </c>
      <c r="D9" s="156">
        <v>735.8</v>
      </c>
      <c r="E9" s="156">
        <v>837.1</v>
      </c>
      <c r="F9" s="156" t="s">
        <v>142</v>
      </c>
      <c r="G9" s="156" t="s">
        <v>143</v>
      </c>
      <c r="H9" s="156" t="s">
        <v>144</v>
      </c>
      <c r="I9" s="156"/>
      <c r="L9" s="174" t="s">
        <v>141</v>
      </c>
      <c r="M9" s="175">
        <v>459</v>
      </c>
      <c r="N9" s="175">
        <v>1185.6</v>
      </c>
      <c r="O9" s="175">
        <v>914.6</v>
      </c>
      <c r="P9" s="175">
        <v>1101.7</v>
      </c>
      <c r="Q9" s="175">
        <v>1269.5</v>
      </c>
      <c r="R9" s="196" t="s">
        <v>115</v>
      </c>
    </row>
    <row r="10" spans="1:18">
      <c r="A10" s="160"/>
      <c r="B10" s="160"/>
      <c r="C10" s="161" t="s">
        <v>145</v>
      </c>
      <c r="D10" s="160"/>
      <c r="E10" s="160"/>
      <c r="F10" s="161" t="s">
        <v>0</v>
      </c>
      <c r="G10" s="161" t="s">
        <v>104</v>
      </c>
      <c r="H10" s="161" t="s">
        <v>105</v>
      </c>
      <c r="I10" s="179"/>
      <c r="K10" s="180" t="s">
        <v>116</v>
      </c>
      <c r="L10" s="181" t="s">
        <v>117</v>
      </c>
      <c r="M10" s="182">
        <v>237</v>
      </c>
      <c r="N10" s="182">
        <v>1067.5</v>
      </c>
      <c r="O10" s="182">
        <v>783.1</v>
      </c>
      <c r="P10" s="182">
        <v>967.2</v>
      </c>
      <c r="Q10" s="182">
        <v>1167.7</v>
      </c>
      <c r="R10" s="182">
        <v>0.001</v>
      </c>
    </row>
    <row r="11" spans="1:18">
      <c r="A11" s="162"/>
      <c r="B11" s="155" t="s">
        <v>146</v>
      </c>
      <c r="C11" s="156" t="s">
        <v>147</v>
      </c>
      <c r="D11" s="157">
        <v>467.6</v>
      </c>
      <c r="E11" s="157">
        <v>774.7</v>
      </c>
      <c r="F11" s="156" t="s">
        <v>148</v>
      </c>
      <c r="G11" s="156" t="s">
        <v>149</v>
      </c>
      <c r="H11" s="156" t="s">
        <v>150</v>
      </c>
      <c r="I11" s="156"/>
      <c r="K11" s="180"/>
      <c r="L11" s="181" t="s">
        <v>123</v>
      </c>
      <c r="M11" s="182">
        <v>222</v>
      </c>
      <c r="N11" s="182">
        <v>1311.7</v>
      </c>
      <c r="O11" s="182">
        <v>1023.6</v>
      </c>
      <c r="P11" s="182">
        <v>1176.3</v>
      </c>
      <c r="Q11" s="182">
        <v>1447.1</v>
      </c>
      <c r="R11" s="182"/>
    </row>
    <row r="12" spans="1:18">
      <c r="A12" s="160" t="s">
        <v>151</v>
      </c>
      <c r="B12" s="155" t="s">
        <v>152</v>
      </c>
      <c r="C12" s="156" t="s">
        <v>153</v>
      </c>
      <c r="D12" s="157">
        <v>455.2</v>
      </c>
      <c r="E12" s="157">
        <v>775.5</v>
      </c>
      <c r="F12" s="156" t="s">
        <v>154</v>
      </c>
      <c r="G12" s="156" t="s">
        <v>155</v>
      </c>
      <c r="H12" s="156" t="s">
        <v>156</v>
      </c>
      <c r="I12" s="156"/>
      <c r="K12" s="176" t="s">
        <v>157</v>
      </c>
      <c r="L12" s="174" t="s">
        <v>128</v>
      </c>
      <c r="M12" s="175">
        <v>219</v>
      </c>
      <c r="N12" s="175">
        <v>1161.5</v>
      </c>
      <c r="O12" s="175">
        <v>994.6</v>
      </c>
      <c r="P12" s="175">
        <v>1029.1</v>
      </c>
      <c r="Q12" s="175">
        <v>1294</v>
      </c>
      <c r="R12" s="175">
        <v>0.12</v>
      </c>
    </row>
    <row r="13" spans="1:18">
      <c r="A13" s="160"/>
      <c r="B13" s="155" t="s">
        <v>158</v>
      </c>
      <c r="C13" s="156" t="s">
        <v>159</v>
      </c>
      <c r="D13" s="157">
        <v>12.3</v>
      </c>
      <c r="E13" s="157">
        <v>21.7</v>
      </c>
      <c r="F13" s="156" t="s">
        <v>160</v>
      </c>
      <c r="G13" s="156" t="s">
        <v>161</v>
      </c>
      <c r="H13" s="156" t="s">
        <v>162</v>
      </c>
      <c r="I13" s="156"/>
      <c r="K13" s="176"/>
      <c r="L13" s="174" t="s">
        <v>138</v>
      </c>
      <c r="M13" s="177">
        <v>240</v>
      </c>
      <c r="N13" s="177">
        <v>1207.6</v>
      </c>
      <c r="O13" s="177">
        <v>836.5</v>
      </c>
      <c r="P13" s="177">
        <v>1101.2</v>
      </c>
      <c r="Q13" s="177">
        <v>1313.9</v>
      </c>
      <c r="R13" s="177"/>
    </row>
    <row r="14" spans="1:18">
      <c r="A14" s="160"/>
      <c r="B14" s="155"/>
      <c r="C14" s="156"/>
      <c r="D14" s="157"/>
      <c r="E14" s="157"/>
      <c r="F14" s="156"/>
      <c r="G14" s="156"/>
      <c r="H14" s="156"/>
      <c r="I14" s="156"/>
      <c r="K14" s="178" t="s">
        <v>163</v>
      </c>
      <c r="L14" s="183"/>
      <c r="M14" s="183"/>
      <c r="N14" s="183"/>
      <c r="O14" s="183"/>
      <c r="P14" s="183"/>
      <c r="Q14" s="183"/>
      <c r="R14" s="183"/>
    </row>
    <row r="15" spans="1:18">
      <c r="A15" s="163"/>
      <c r="B15" s="155" t="s">
        <v>164</v>
      </c>
      <c r="C15" s="156" t="s">
        <v>165</v>
      </c>
      <c r="D15" s="157">
        <v>247.8</v>
      </c>
      <c r="E15" s="157">
        <v>317.4</v>
      </c>
      <c r="F15" s="156" t="s">
        <v>166</v>
      </c>
      <c r="G15" s="156" t="s">
        <v>167</v>
      </c>
      <c r="H15" s="156" t="s">
        <v>168</v>
      </c>
      <c r="I15" s="156"/>
      <c r="L15" s="174" t="s">
        <v>141</v>
      </c>
      <c r="M15" s="177">
        <v>459</v>
      </c>
      <c r="N15" s="177">
        <v>719.9</v>
      </c>
      <c r="O15" s="177">
        <v>779.4</v>
      </c>
      <c r="P15" s="177">
        <v>648.4</v>
      </c>
      <c r="Q15" s="177">
        <v>791.4</v>
      </c>
      <c r="R15" s="197" t="s">
        <v>169</v>
      </c>
    </row>
    <row r="16" spans="1:18">
      <c r="A16" s="160" t="s">
        <v>170</v>
      </c>
      <c r="B16" s="155" t="s">
        <v>171</v>
      </c>
      <c r="C16" s="156" t="s">
        <v>172</v>
      </c>
      <c r="D16" s="157">
        <v>137.7</v>
      </c>
      <c r="E16" s="157">
        <v>284.5</v>
      </c>
      <c r="F16" s="156" t="s">
        <v>173</v>
      </c>
      <c r="G16" s="156" t="s">
        <v>174</v>
      </c>
      <c r="H16" s="156" t="s">
        <v>175</v>
      </c>
      <c r="I16" s="156"/>
      <c r="K16" s="184" t="s">
        <v>176</v>
      </c>
      <c r="L16" s="184"/>
      <c r="M16" s="184"/>
      <c r="N16" s="184"/>
      <c r="O16" s="184"/>
      <c r="P16" s="184"/>
      <c r="Q16" s="184"/>
      <c r="R16" s="184"/>
    </row>
    <row r="17" spans="1:18">
      <c r="A17" s="160"/>
      <c r="B17" s="155" t="s">
        <v>177</v>
      </c>
      <c r="C17" s="156" t="s">
        <v>178</v>
      </c>
      <c r="D17" s="157">
        <v>42.9</v>
      </c>
      <c r="E17" s="157">
        <v>91.2</v>
      </c>
      <c r="F17" s="156" t="s">
        <v>179</v>
      </c>
      <c r="G17" s="156" t="s">
        <v>180</v>
      </c>
      <c r="H17" s="156" t="s">
        <v>181</v>
      </c>
      <c r="I17" s="156"/>
      <c r="K17" s="184"/>
      <c r="L17" s="184"/>
      <c r="M17" s="185" t="s">
        <v>145</v>
      </c>
      <c r="N17" s="185" t="s">
        <v>102</v>
      </c>
      <c r="O17" s="185" t="s">
        <v>103</v>
      </c>
      <c r="P17" s="185" t="s">
        <v>108</v>
      </c>
      <c r="Q17" s="185" t="s">
        <v>109</v>
      </c>
      <c r="R17" s="198"/>
    </row>
    <row r="18" spans="1:18">
      <c r="A18" s="160"/>
      <c r="B18" s="155" t="s">
        <v>182</v>
      </c>
      <c r="C18" s="156" t="s">
        <v>183</v>
      </c>
      <c r="D18" s="157">
        <v>17</v>
      </c>
      <c r="E18" s="157">
        <v>43</v>
      </c>
      <c r="F18" s="156" t="s">
        <v>184</v>
      </c>
      <c r="G18" s="156" t="s">
        <v>185</v>
      </c>
      <c r="H18" s="156" t="s">
        <v>186</v>
      </c>
      <c r="I18" s="156"/>
      <c r="L18" s="174" t="s">
        <v>187</v>
      </c>
      <c r="M18" s="175">
        <v>65.3</v>
      </c>
      <c r="N18" s="175">
        <v>469.9</v>
      </c>
      <c r="O18" s="175">
        <v>710.5</v>
      </c>
      <c r="P18" s="175">
        <v>404.7</v>
      </c>
      <c r="Q18" s="175">
        <v>535.1</v>
      </c>
      <c r="R18" s="199"/>
    </row>
    <row r="19" spans="1:18">
      <c r="A19" s="160"/>
      <c r="B19" s="155" t="s">
        <v>188</v>
      </c>
      <c r="C19" s="156" t="s">
        <v>189</v>
      </c>
      <c r="D19" s="157">
        <v>5.6</v>
      </c>
      <c r="E19" s="157">
        <v>7.8</v>
      </c>
      <c r="F19" s="156" t="s">
        <v>190</v>
      </c>
      <c r="G19" s="156" t="s">
        <v>191</v>
      </c>
      <c r="H19" s="156" t="s">
        <v>192</v>
      </c>
      <c r="I19" s="156"/>
      <c r="K19" s="180" t="s">
        <v>151</v>
      </c>
      <c r="L19" s="181" t="s">
        <v>152</v>
      </c>
      <c r="M19" s="182">
        <v>63.6</v>
      </c>
      <c r="N19" s="182">
        <v>457.9</v>
      </c>
      <c r="O19" s="182">
        <v>710.8</v>
      </c>
      <c r="P19" s="182">
        <v>392.7</v>
      </c>
      <c r="Q19" s="182">
        <v>523.1</v>
      </c>
      <c r="R19" s="200"/>
    </row>
    <row r="20" spans="1:18">
      <c r="A20" s="160"/>
      <c r="B20" s="155"/>
      <c r="C20" s="156"/>
      <c r="D20" s="157"/>
      <c r="E20" s="157"/>
      <c r="F20" s="156"/>
      <c r="G20" s="156"/>
      <c r="H20" s="156"/>
      <c r="I20" s="156"/>
      <c r="K20" s="180"/>
      <c r="L20" s="181" t="s">
        <v>158</v>
      </c>
      <c r="M20" s="175">
        <v>1.7</v>
      </c>
      <c r="N20" s="175">
        <v>11.9</v>
      </c>
      <c r="O20" s="175">
        <v>24.2</v>
      </c>
      <c r="P20" s="175">
        <v>9.7</v>
      </c>
      <c r="Q20" s="175">
        <v>14.1</v>
      </c>
      <c r="R20" s="199"/>
    </row>
    <row r="21" spans="1:18">
      <c r="A21" s="163"/>
      <c r="B21" s="155"/>
      <c r="C21" s="156"/>
      <c r="D21" s="157"/>
      <c r="E21" s="157"/>
      <c r="F21" s="156"/>
      <c r="G21" s="156"/>
      <c r="H21" s="156"/>
      <c r="I21" s="156"/>
      <c r="K21" s="180"/>
      <c r="L21" s="181"/>
      <c r="M21" s="175"/>
      <c r="N21" s="175"/>
      <c r="O21" s="175"/>
      <c r="P21" s="175"/>
      <c r="Q21" s="175"/>
      <c r="R21" s="199"/>
    </row>
    <row r="22" spans="1:18">
      <c r="A22" s="160" t="s">
        <v>193</v>
      </c>
      <c r="B22" s="155" t="s">
        <v>194</v>
      </c>
      <c r="C22" s="156" t="s">
        <v>195</v>
      </c>
      <c r="D22" s="157">
        <v>13.9</v>
      </c>
      <c r="E22" s="157">
        <v>23.1</v>
      </c>
      <c r="F22" s="156" t="s">
        <v>196</v>
      </c>
      <c r="G22" s="156" t="s">
        <v>197</v>
      </c>
      <c r="H22" s="156" t="s">
        <v>198</v>
      </c>
      <c r="I22" s="156"/>
      <c r="K22" s="186"/>
      <c r="L22" s="181" t="s">
        <v>199</v>
      </c>
      <c r="M22" s="175">
        <v>32</v>
      </c>
      <c r="N22" s="175">
        <v>230.5</v>
      </c>
      <c r="O22" s="175">
        <v>293.4</v>
      </c>
      <c r="P22" s="175">
        <v>203.6</v>
      </c>
      <c r="Q22" s="175">
        <v>257.4</v>
      </c>
      <c r="R22" s="199"/>
    </row>
    <row r="23" spans="1:18">
      <c r="A23" s="160"/>
      <c r="B23" s="155" t="s">
        <v>200</v>
      </c>
      <c r="C23" s="156" t="s">
        <v>201</v>
      </c>
      <c r="D23" s="157">
        <v>6.5</v>
      </c>
      <c r="E23" s="157">
        <v>8.9</v>
      </c>
      <c r="F23" s="156" t="s">
        <v>202</v>
      </c>
      <c r="G23" s="156" t="s">
        <v>203</v>
      </c>
      <c r="H23" s="156" t="s">
        <v>204</v>
      </c>
      <c r="I23" s="156"/>
      <c r="K23" s="187" t="s">
        <v>170</v>
      </c>
      <c r="L23" s="181" t="s">
        <v>171</v>
      </c>
      <c r="M23" s="175">
        <v>17.4</v>
      </c>
      <c r="N23" s="175">
        <v>125.6</v>
      </c>
      <c r="O23" s="175">
        <v>256.2</v>
      </c>
      <c r="P23" s="175">
        <v>102.1</v>
      </c>
      <c r="Q23" s="175">
        <v>149.1</v>
      </c>
      <c r="R23" s="199"/>
    </row>
    <row r="24" spans="1:18">
      <c r="A24" s="160"/>
      <c r="B24" s="155"/>
      <c r="C24" s="156"/>
      <c r="D24" s="157"/>
      <c r="E24" s="157"/>
      <c r="F24" s="156"/>
      <c r="G24" s="156"/>
      <c r="H24" s="156"/>
      <c r="I24" s="188"/>
      <c r="K24" s="187"/>
      <c r="L24" s="181" t="s">
        <v>177</v>
      </c>
      <c r="M24" s="175">
        <v>6</v>
      </c>
      <c r="N24" s="175">
        <v>43.1</v>
      </c>
      <c r="O24" s="175">
        <v>86.8</v>
      </c>
      <c r="P24" s="175">
        <v>35.1</v>
      </c>
      <c r="Q24" s="175">
        <v>51</v>
      </c>
      <c r="R24" s="199"/>
    </row>
    <row r="25" spans="1:18">
      <c r="A25" s="154" t="s">
        <v>107</v>
      </c>
      <c r="B25" s="155"/>
      <c r="C25" s="161" t="s">
        <v>145</v>
      </c>
      <c r="D25" s="164"/>
      <c r="E25" s="164"/>
      <c r="F25" s="161" t="s">
        <v>0</v>
      </c>
      <c r="G25" s="161" t="s">
        <v>104</v>
      </c>
      <c r="H25" s="161" t="s">
        <v>105</v>
      </c>
      <c r="I25" s="189" t="s">
        <v>205</v>
      </c>
      <c r="K25" s="187"/>
      <c r="L25" s="181" t="s">
        <v>206</v>
      </c>
      <c r="M25" s="175">
        <v>5.4</v>
      </c>
      <c r="N25" s="175">
        <v>38.8</v>
      </c>
      <c r="O25" s="175">
        <v>82</v>
      </c>
      <c r="P25" s="175">
        <v>31.3</v>
      </c>
      <c r="Q25" s="175">
        <v>46.3</v>
      </c>
      <c r="R25" s="199"/>
    </row>
    <row r="26" spans="1:18">
      <c r="A26" s="165"/>
      <c r="B26" s="155" t="s">
        <v>111</v>
      </c>
      <c r="C26" s="156">
        <v>311</v>
      </c>
      <c r="D26" s="166">
        <v>0.03</v>
      </c>
      <c r="E26" s="167">
        <v>0.46</v>
      </c>
      <c r="F26" s="156" t="s">
        <v>207</v>
      </c>
      <c r="G26" s="156" t="s">
        <v>208</v>
      </c>
      <c r="H26" s="156" t="s">
        <v>209</v>
      </c>
      <c r="I26" s="188"/>
      <c r="K26" s="187"/>
      <c r="L26" s="181" t="s">
        <v>182</v>
      </c>
      <c r="M26" s="175">
        <v>2.2</v>
      </c>
      <c r="N26" s="175">
        <v>15.7</v>
      </c>
      <c r="O26" s="175">
        <v>40.2</v>
      </c>
      <c r="P26" s="175">
        <v>12</v>
      </c>
      <c r="Q26" s="175">
        <v>19.4</v>
      </c>
      <c r="R26" s="199"/>
    </row>
    <row r="27" spans="1:18">
      <c r="A27" s="162" t="s">
        <v>116</v>
      </c>
      <c r="B27" s="155" t="s">
        <v>117</v>
      </c>
      <c r="C27" s="156">
        <v>153</v>
      </c>
      <c r="D27" s="166">
        <v>0.07</v>
      </c>
      <c r="E27" s="166">
        <v>0.48</v>
      </c>
      <c r="F27" s="156" t="s">
        <v>210</v>
      </c>
      <c r="G27" s="156" t="s">
        <v>211</v>
      </c>
      <c r="H27" s="156" t="s">
        <v>212</v>
      </c>
      <c r="I27" s="188" t="s">
        <v>213</v>
      </c>
      <c r="K27" s="187"/>
      <c r="L27" s="181" t="s">
        <v>188</v>
      </c>
      <c r="M27" s="175">
        <v>0.7</v>
      </c>
      <c r="N27" s="175">
        <v>5.3</v>
      </c>
      <c r="O27" s="175">
        <v>8</v>
      </c>
      <c r="P27" s="175">
        <v>4.6</v>
      </c>
      <c r="Q27" s="175">
        <v>6</v>
      </c>
      <c r="R27" s="199"/>
    </row>
    <row r="28" spans="1:18">
      <c r="A28" s="154"/>
      <c r="B28" s="155" t="s">
        <v>123</v>
      </c>
      <c r="C28" s="156">
        <v>158</v>
      </c>
      <c r="D28" s="166">
        <v>-0.01</v>
      </c>
      <c r="E28" s="166">
        <v>0.44</v>
      </c>
      <c r="F28" s="156" t="s">
        <v>214</v>
      </c>
      <c r="G28" s="156" t="s">
        <v>215</v>
      </c>
      <c r="H28" s="156" t="s">
        <v>216</v>
      </c>
      <c r="I28" s="188"/>
      <c r="K28" s="186"/>
      <c r="L28" s="181"/>
      <c r="M28" s="175"/>
      <c r="N28" s="175"/>
      <c r="O28" s="175"/>
      <c r="P28" s="175"/>
      <c r="Q28" s="175"/>
      <c r="R28" s="199"/>
    </row>
    <row r="29" spans="1:18">
      <c r="A29" s="162" t="s">
        <v>127</v>
      </c>
      <c r="B29" s="155" t="s">
        <v>128</v>
      </c>
      <c r="C29" s="156">
        <v>147</v>
      </c>
      <c r="D29" s="166">
        <v>0.11</v>
      </c>
      <c r="E29" s="166">
        <v>0.44</v>
      </c>
      <c r="F29" s="156" t="s">
        <v>217</v>
      </c>
      <c r="G29" s="156" t="s">
        <v>218</v>
      </c>
      <c r="H29" s="156" t="s">
        <v>219</v>
      </c>
      <c r="I29" s="188" t="s">
        <v>220</v>
      </c>
      <c r="K29" s="190" t="s">
        <v>193</v>
      </c>
      <c r="L29" s="174" t="s">
        <v>194</v>
      </c>
      <c r="M29" s="175">
        <v>1.8</v>
      </c>
      <c r="N29" s="175">
        <v>13.2</v>
      </c>
      <c r="O29" s="175">
        <v>21</v>
      </c>
      <c r="P29" s="175">
        <v>11.2</v>
      </c>
      <c r="Q29" s="175">
        <v>15.1</v>
      </c>
      <c r="R29" s="199"/>
    </row>
    <row r="30" ht="15.25" spans="1:18">
      <c r="A30" s="168"/>
      <c r="B30" s="169" t="s">
        <v>134</v>
      </c>
      <c r="C30" s="170">
        <v>164</v>
      </c>
      <c r="D30" s="170">
        <v>-0.04</v>
      </c>
      <c r="E30" s="170">
        <v>0.47</v>
      </c>
      <c r="F30" s="170" t="s">
        <v>221</v>
      </c>
      <c r="G30" s="170" t="s">
        <v>222</v>
      </c>
      <c r="H30" s="170" t="s">
        <v>223</v>
      </c>
      <c r="I30" s="191"/>
      <c r="K30" s="190"/>
      <c r="L30" s="174" t="s">
        <v>224</v>
      </c>
      <c r="M30" s="175">
        <v>0</v>
      </c>
      <c r="N30" s="175">
        <v>0</v>
      </c>
      <c r="O30" s="175">
        <v>0.1</v>
      </c>
      <c r="P30" s="175">
        <v>0</v>
      </c>
      <c r="Q30" s="175">
        <v>0</v>
      </c>
      <c r="R30" s="199"/>
    </row>
    <row r="31" ht="15.25" spans="11:18">
      <c r="K31" s="192"/>
      <c r="L31" s="193" t="s">
        <v>200</v>
      </c>
      <c r="M31" s="194">
        <v>0.9</v>
      </c>
      <c r="N31" s="194">
        <v>6.4</v>
      </c>
      <c r="O31" s="194">
        <v>9.3</v>
      </c>
      <c r="P31" s="194">
        <v>5.6</v>
      </c>
      <c r="Q31" s="194">
        <v>7.3</v>
      </c>
      <c r="R31" s="201"/>
    </row>
  </sheetData>
  <mergeCells count="28">
    <mergeCell ref="A2:B2"/>
    <mergeCell ref="K2:L2"/>
    <mergeCell ref="A8:I8"/>
    <mergeCell ref="K8:R8"/>
    <mergeCell ref="A10:B10"/>
    <mergeCell ref="K14:R14"/>
    <mergeCell ref="K16:R16"/>
    <mergeCell ref="K17:L17"/>
    <mergeCell ref="A4:A5"/>
    <mergeCell ref="A6:A7"/>
    <mergeCell ref="A12:A13"/>
    <mergeCell ref="A16:A20"/>
    <mergeCell ref="A22:A24"/>
    <mergeCell ref="I4:I5"/>
    <mergeCell ref="I6:I7"/>
    <mergeCell ref="I27:I28"/>
    <mergeCell ref="I29:I30"/>
    <mergeCell ref="K4:K5"/>
    <mergeCell ref="K6:K7"/>
    <mergeCell ref="K10:K11"/>
    <mergeCell ref="K12:K13"/>
    <mergeCell ref="K19:K20"/>
    <mergeCell ref="K23:K27"/>
    <mergeCell ref="K29:K31"/>
    <mergeCell ref="R4:R5"/>
    <mergeCell ref="R6:R7"/>
    <mergeCell ref="R10:R11"/>
    <mergeCell ref="R12:R13"/>
  </mergeCells>
  <pageMargins left="0.7" right="0.7" top="0.75" bottom="0.75" header="0.3" footer="0.3"/>
  <pageSetup paperSize="9" orientation="portrait" verticalDpi="599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8"/>
  <sheetViews>
    <sheetView zoomScale="112" zoomScaleNormal="112" workbookViewId="0">
      <selection activeCell="A34" sqref="$A34:$XFD34"/>
    </sheetView>
  </sheetViews>
  <sheetFormatPr defaultColWidth="11" defaultRowHeight="13"/>
  <cols>
    <col min="1" max="1" width="26.0909090909091" style="115" customWidth="1"/>
    <col min="2" max="2" width="4.27272727272727" style="115" customWidth="1"/>
    <col min="3" max="3" width="8.45454545454546" style="115" customWidth="1"/>
    <col min="4" max="4" width="17.3636363636364" style="115" customWidth="1"/>
    <col min="5" max="5" width="17" style="115" hidden="1" customWidth="1"/>
    <col min="6" max="6" width="6.45454545454545" style="115" hidden="1" customWidth="1"/>
    <col min="7" max="7" width="7.90909090909091" style="115" customWidth="1"/>
    <col min="8" max="8" width="19.3636363636364" style="115" customWidth="1"/>
    <col min="9" max="9" width="18.9090909090909" style="115" customWidth="1"/>
    <col min="10" max="10" width="4.27272727272727" style="115" customWidth="1"/>
    <col min="11" max="11" width="7.90909090909091" style="115" customWidth="1"/>
    <col min="12" max="12" width="19" style="115" customWidth="1"/>
    <col min="13" max="13" width="16.7272727272727" style="115" hidden="1" customWidth="1"/>
    <col min="14" max="14" width="11" style="115" hidden="1" customWidth="1"/>
    <col min="15" max="15" width="11.1818181818182" style="115" customWidth="1"/>
    <col min="16" max="16" width="11.1818181818182" style="115" hidden="1" customWidth="1"/>
    <col min="17" max="17" width="11.1818181818182" style="115" customWidth="1"/>
    <col min="18" max="19" width="10.9090909090909" style="115"/>
    <col min="20" max="20" width="20.0909090909091" style="115" customWidth="1"/>
    <col min="21" max="24" width="10.9090909090909" style="115"/>
    <col min="25" max="26" width="24.5454545454545" style="115" customWidth="1"/>
    <col min="27" max="27" width="27.2727272727273" style="115" customWidth="1"/>
    <col min="28" max="28" width="24.5454545454545" style="115" customWidth="1"/>
    <col min="29" max="16384" width="10.9090909090909" style="115"/>
  </cols>
  <sheetData>
    <row r="1" ht="26.5" customHeight="1" spans="1:30">
      <c r="A1" s="116" t="s">
        <v>225</v>
      </c>
      <c r="B1" s="117" t="s">
        <v>226</v>
      </c>
      <c r="C1" s="117"/>
      <c r="D1" s="117"/>
      <c r="E1" s="117"/>
      <c r="F1" s="117"/>
      <c r="G1" s="117" t="s">
        <v>227</v>
      </c>
      <c r="H1" s="117"/>
      <c r="I1" s="117"/>
      <c r="J1" s="117" t="s">
        <v>228</v>
      </c>
      <c r="K1" s="117"/>
      <c r="L1" s="117"/>
      <c r="M1" s="137"/>
      <c r="N1" s="138" t="s">
        <v>229</v>
      </c>
      <c r="O1" s="117" t="s">
        <v>230</v>
      </c>
      <c r="P1" s="117" t="s">
        <v>231</v>
      </c>
      <c r="Q1" s="117" t="s">
        <v>232</v>
      </c>
      <c r="R1" s="55"/>
      <c r="Y1" s="30" t="s">
        <v>225</v>
      </c>
      <c r="Z1" s="30" t="s">
        <v>226</v>
      </c>
      <c r="AA1" s="30" t="s">
        <v>227</v>
      </c>
      <c r="AB1" s="30" t="s">
        <v>233</v>
      </c>
      <c r="AC1" s="147" t="s">
        <v>230</v>
      </c>
      <c r="AD1" s="55" t="s">
        <v>232</v>
      </c>
    </row>
    <row r="2" ht="15" customHeight="1" spans="1:30">
      <c r="A2" s="118"/>
      <c r="B2" s="119" t="s">
        <v>101</v>
      </c>
      <c r="C2" s="119" t="s">
        <v>0</v>
      </c>
      <c r="D2" s="119" t="s">
        <v>1</v>
      </c>
      <c r="E2" s="119" t="s">
        <v>105</v>
      </c>
      <c r="F2" s="119" t="s">
        <v>101</v>
      </c>
      <c r="G2" s="119" t="s">
        <v>0</v>
      </c>
      <c r="H2" s="119" t="s">
        <v>1</v>
      </c>
      <c r="I2" s="119" t="s">
        <v>105</v>
      </c>
      <c r="J2" s="119" t="s">
        <v>101</v>
      </c>
      <c r="K2" s="119" t="s">
        <v>0</v>
      </c>
      <c r="L2" s="119" t="s">
        <v>1</v>
      </c>
      <c r="M2" s="119" t="s">
        <v>105</v>
      </c>
      <c r="N2" s="139" t="s">
        <v>234</v>
      </c>
      <c r="O2" s="119"/>
      <c r="P2" s="119"/>
      <c r="Q2" s="119"/>
      <c r="R2" s="57"/>
      <c r="Y2" s="30"/>
      <c r="Z2" s="30" t="s">
        <v>235</v>
      </c>
      <c r="AA2" s="30" t="s">
        <v>235</v>
      </c>
      <c r="AB2" s="30" t="s">
        <v>235</v>
      </c>
      <c r="AC2" s="148"/>
      <c r="AD2" s="148"/>
    </row>
    <row r="3" spans="1:30">
      <c r="A3" s="33" t="s">
        <v>236</v>
      </c>
      <c r="B3" s="47">
        <v>104</v>
      </c>
      <c r="C3" s="120">
        <v>511.89</v>
      </c>
      <c r="D3" s="121" t="s">
        <v>237</v>
      </c>
      <c r="E3" s="121" t="s">
        <v>238</v>
      </c>
      <c r="F3" s="122">
        <v>103</v>
      </c>
      <c r="G3" s="120">
        <v>960.99</v>
      </c>
      <c r="H3" s="121" t="s">
        <v>239</v>
      </c>
      <c r="I3" s="121" t="s">
        <v>240</v>
      </c>
      <c r="J3" s="121">
        <v>104</v>
      </c>
      <c r="K3" s="120">
        <v>1828.4</v>
      </c>
      <c r="L3" s="121" t="s">
        <v>241</v>
      </c>
      <c r="M3" s="43" t="s">
        <v>242</v>
      </c>
      <c r="N3" s="140" t="s">
        <v>243</v>
      </c>
      <c r="O3" s="140">
        <v>9.22922848384583e-100</v>
      </c>
      <c r="P3" s="140">
        <v>1.33126990159049e-94</v>
      </c>
      <c r="Q3" s="140">
        <v>1.01191606411068e-93</v>
      </c>
      <c r="R3" s="1"/>
      <c r="Y3" s="33" t="s">
        <v>236</v>
      </c>
      <c r="Z3" s="32" t="str">
        <f>CONCATENATE(C3," (",D3,")")</f>
        <v>511,89 (384.4; 663.9)</v>
      </c>
      <c r="AA3" s="32" t="str">
        <f>CONCATENATE(G3," (",H3,")")</f>
        <v>960,99 (827.42; 1125.4)</v>
      </c>
      <c r="AB3" s="32" t="str">
        <f>CONCATENATE(K3," (",L3,")")</f>
        <v>1828,4 (1550.6; 2435.1)</v>
      </c>
      <c r="AC3" s="149">
        <v>9.22922848384583e-100</v>
      </c>
      <c r="AD3" s="149">
        <v>1.01191606411068e-93</v>
      </c>
    </row>
    <row r="4" hidden="1" customHeight="1" spans="1:30">
      <c r="A4" s="36" t="s">
        <v>116</v>
      </c>
      <c r="B4" s="37"/>
      <c r="C4" s="123"/>
      <c r="D4" s="43"/>
      <c r="E4" s="43"/>
      <c r="F4" s="43"/>
      <c r="G4" s="123"/>
      <c r="H4" s="43"/>
      <c r="I4" s="43"/>
      <c r="J4" s="43"/>
      <c r="K4" s="123"/>
      <c r="L4" s="43"/>
      <c r="M4" s="43"/>
      <c r="N4" s="43"/>
      <c r="O4" s="43"/>
      <c r="P4" s="43"/>
      <c r="Q4" s="43"/>
      <c r="R4" s="1"/>
      <c r="Y4" s="36" t="s">
        <v>116</v>
      </c>
      <c r="Z4" s="32" t="str">
        <f t="shared" ref="Z4:Z64" si="0">CONCATENATE(C4," (",D4,")")</f>
        <v> ()</v>
      </c>
      <c r="AA4" s="32" t="str">
        <f t="shared" ref="AA4:AA38" si="1">CONCATENATE(G4," (",H4,")")</f>
        <v> ()</v>
      </c>
      <c r="AB4" s="32" t="str">
        <f t="shared" ref="AB4:AB64" si="2">CONCATENATE(K4," (",L4,")")</f>
        <v> ()</v>
      </c>
      <c r="AC4" s="43"/>
      <c r="AD4" s="43"/>
    </row>
    <row r="5" hidden="1" customHeight="1" spans="1:30">
      <c r="A5" s="38" t="s">
        <v>117</v>
      </c>
      <c r="B5" s="32"/>
      <c r="C5" s="123"/>
      <c r="D5" s="43"/>
      <c r="E5" s="43"/>
      <c r="F5" s="43"/>
      <c r="G5" s="123"/>
      <c r="H5" s="43"/>
      <c r="I5" s="43"/>
      <c r="J5" s="43"/>
      <c r="K5" s="123"/>
      <c r="L5" s="43"/>
      <c r="M5" s="43"/>
      <c r="N5" s="43"/>
      <c r="O5" s="43"/>
      <c r="P5" s="43"/>
      <c r="Q5" s="43"/>
      <c r="R5" s="1"/>
      <c r="Y5" s="38" t="s">
        <v>117</v>
      </c>
      <c r="Z5" s="32" t="str">
        <f t="shared" si="0"/>
        <v> ()</v>
      </c>
      <c r="AA5" s="32" t="str">
        <f t="shared" si="1"/>
        <v> ()</v>
      </c>
      <c r="AB5" s="32" t="str">
        <f t="shared" si="2"/>
        <v> ()</v>
      </c>
      <c r="AC5" s="43"/>
      <c r="AD5" s="43"/>
    </row>
    <row r="6" hidden="1" customHeight="1" spans="1:30">
      <c r="A6" s="38" t="s">
        <v>123</v>
      </c>
      <c r="B6" s="32"/>
      <c r="C6" s="123"/>
      <c r="D6" s="43"/>
      <c r="E6" s="43"/>
      <c r="F6" s="43"/>
      <c r="G6" s="123"/>
      <c r="H6" s="43"/>
      <c r="I6" s="43"/>
      <c r="J6" s="43"/>
      <c r="K6" s="123"/>
      <c r="L6" s="43"/>
      <c r="M6" s="43"/>
      <c r="N6" s="43"/>
      <c r="O6" s="43"/>
      <c r="P6" s="43"/>
      <c r="Q6" s="43"/>
      <c r="R6" s="1"/>
      <c r="Y6" s="38" t="s">
        <v>123</v>
      </c>
      <c r="Z6" s="32" t="str">
        <f t="shared" si="0"/>
        <v> ()</v>
      </c>
      <c r="AA6" s="32" t="str">
        <f t="shared" si="1"/>
        <v> ()</v>
      </c>
      <c r="AB6" s="32" t="str">
        <f t="shared" si="2"/>
        <v> ()</v>
      </c>
      <c r="AC6" s="43"/>
      <c r="AD6" s="43"/>
    </row>
    <row r="7" spans="1:30">
      <c r="A7" s="33" t="s">
        <v>244</v>
      </c>
      <c r="B7" s="32">
        <v>104</v>
      </c>
      <c r="C7" s="120">
        <v>38</v>
      </c>
      <c r="D7" s="124" t="s">
        <v>245</v>
      </c>
      <c r="E7" s="124" t="s">
        <v>246</v>
      </c>
      <c r="F7" s="124">
        <v>103</v>
      </c>
      <c r="G7" s="120">
        <v>43</v>
      </c>
      <c r="H7" s="124" t="s">
        <v>247</v>
      </c>
      <c r="I7" s="124" t="s">
        <v>248</v>
      </c>
      <c r="J7" s="124">
        <v>104</v>
      </c>
      <c r="K7" s="120">
        <v>43</v>
      </c>
      <c r="L7" s="124" t="s">
        <v>247</v>
      </c>
      <c r="M7" s="43" t="s">
        <v>249</v>
      </c>
      <c r="N7" s="43">
        <v>0.0072</v>
      </c>
      <c r="O7" s="73">
        <v>0.0484161191684191</v>
      </c>
      <c r="P7" s="73">
        <v>0.168434279727343</v>
      </c>
      <c r="Q7" s="73">
        <v>0.107969913367185</v>
      </c>
      <c r="R7" s="1"/>
      <c r="Y7" s="33" t="s">
        <v>244</v>
      </c>
      <c r="Z7" s="32" t="str">
        <f t="shared" si="0"/>
        <v>38 (28.3; 47.0)</v>
      </c>
      <c r="AA7" s="32" t="str">
        <f t="shared" si="1"/>
        <v>43 (33.0; 51.0)</v>
      </c>
      <c r="AB7" s="32" t="str">
        <f t="shared" si="2"/>
        <v>43 (33.0; 51.0)</v>
      </c>
      <c r="AC7" s="73">
        <v>0.0484161191684191</v>
      </c>
      <c r="AD7" s="73">
        <v>0.107969913367185</v>
      </c>
    </row>
    <row r="8" hidden="1" customHeight="1" spans="1:30">
      <c r="A8" s="40" t="s">
        <v>250</v>
      </c>
      <c r="B8" s="125"/>
      <c r="C8" s="123"/>
      <c r="D8" s="43"/>
      <c r="E8" s="43"/>
      <c r="F8" s="43"/>
      <c r="G8" s="123"/>
      <c r="H8" s="43"/>
      <c r="I8" s="43"/>
      <c r="J8" s="43"/>
      <c r="K8" s="123"/>
      <c r="L8" s="43"/>
      <c r="M8" s="43"/>
      <c r="N8" s="43"/>
      <c r="O8" s="43"/>
      <c r="P8" s="43"/>
      <c r="Q8" s="43"/>
      <c r="R8" s="1"/>
      <c r="Y8" s="40" t="s">
        <v>250</v>
      </c>
      <c r="Z8" s="32" t="str">
        <f t="shared" si="0"/>
        <v> ()</v>
      </c>
      <c r="AA8" s="32" t="str">
        <f t="shared" si="1"/>
        <v> ()</v>
      </c>
      <c r="AB8" s="32" t="str">
        <f t="shared" si="2"/>
        <v> ()</v>
      </c>
      <c r="AC8" s="43"/>
      <c r="AD8" s="43"/>
    </row>
    <row r="9" hidden="1" customHeight="1" spans="1:30">
      <c r="A9" s="42" t="s">
        <v>128</v>
      </c>
      <c r="B9" s="32"/>
      <c r="C9" s="123"/>
      <c r="D9" s="43"/>
      <c r="E9" s="43"/>
      <c r="F9" s="43"/>
      <c r="G9" s="123"/>
      <c r="H9" s="43"/>
      <c r="I9" s="43"/>
      <c r="J9" s="43"/>
      <c r="K9" s="123"/>
      <c r="L9" s="43"/>
      <c r="M9" s="43"/>
      <c r="N9" s="43"/>
      <c r="O9" s="43"/>
      <c r="P9" s="43"/>
      <c r="Q9" s="43"/>
      <c r="R9" s="1"/>
      <c r="Y9" s="42" t="s">
        <v>128</v>
      </c>
      <c r="Z9" s="32" t="str">
        <f t="shared" si="0"/>
        <v> ()</v>
      </c>
      <c r="AA9" s="32" t="str">
        <f t="shared" si="1"/>
        <v> ()</v>
      </c>
      <c r="AB9" s="32" t="str">
        <f t="shared" si="2"/>
        <v> ()</v>
      </c>
      <c r="AC9" s="43"/>
      <c r="AD9" s="43"/>
    </row>
    <row r="10" ht="13.5" hidden="1" customHeight="1" spans="1:30">
      <c r="A10" s="44" t="s">
        <v>134</v>
      </c>
      <c r="B10" s="45"/>
      <c r="C10" s="126"/>
      <c r="D10" s="45"/>
      <c r="E10" s="45"/>
      <c r="F10" s="45"/>
      <c r="G10" s="126"/>
      <c r="H10" s="45"/>
      <c r="I10" s="45"/>
      <c r="J10" s="45"/>
      <c r="K10" s="126"/>
      <c r="L10" s="45"/>
      <c r="M10" s="45"/>
      <c r="N10" s="43"/>
      <c r="O10" s="43"/>
      <c r="P10" s="43"/>
      <c r="Q10" s="43"/>
      <c r="R10" s="57"/>
      <c r="Y10" s="44" t="s">
        <v>134</v>
      </c>
      <c r="Z10" s="32" t="str">
        <f t="shared" si="0"/>
        <v> ()</v>
      </c>
      <c r="AA10" s="32" t="str">
        <f t="shared" si="1"/>
        <v> ()</v>
      </c>
      <c r="AB10" s="32" t="str">
        <f t="shared" si="2"/>
        <v> ()</v>
      </c>
      <c r="AC10" s="43"/>
      <c r="AD10" s="43"/>
    </row>
    <row r="11" spans="1:30">
      <c r="A11" s="33" t="s">
        <v>251</v>
      </c>
      <c r="B11" s="47">
        <v>104</v>
      </c>
      <c r="C11" s="123">
        <v>0.315</v>
      </c>
      <c r="D11" s="43" t="s">
        <v>252</v>
      </c>
      <c r="E11" s="43" t="s">
        <v>253</v>
      </c>
      <c r="F11" s="43">
        <v>103</v>
      </c>
      <c r="G11" s="123">
        <v>0.032</v>
      </c>
      <c r="H11" s="43" t="s">
        <v>254</v>
      </c>
      <c r="I11" s="43" t="s">
        <v>255</v>
      </c>
      <c r="J11" s="43">
        <v>104</v>
      </c>
      <c r="K11" s="123">
        <v>-0.195</v>
      </c>
      <c r="L11" s="43" t="s">
        <v>256</v>
      </c>
      <c r="M11" s="43" t="s">
        <v>257</v>
      </c>
      <c r="N11" s="141" t="s">
        <v>243</v>
      </c>
      <c r="O11" s="142">
        <v>5.61082590935543e-5</v>
      </c>
      <c r="P11" s="143">
        <v>0.000625864284546292</v>
      </c>
      <c r="Q11" s="143">
        <v>0.000528226814175729</v>
      </c>
      <c r="R11" s="57"/>
      <c r="Y11" s="33" t="s">
        <v>251</v>
      </c>
      <c r="Z11" s="32" t="str">
        <f t="shared" si="0"/>
        <v>0,315 (-0.141; 0.505)</v>
      </c>
      <c r="AA11" s="32" t="str">
        <f t="shared" si="1"/>
        <v>0,032 (-0.304; 0.282)</v>
      </c>
      <c r="AB11" s="32" t="str">
        <f t="shared" si="2"/>
        <v>-0,195 (-0.396; 0.198)</v>
      </c>
      <c r="AC11" s="142">
        <v>5.61082590935543e-5</v>
      </c>
      <c r="AD11" s="143">
        <v>0.000528226814175729</v>
      </c>
    </row>
    <row r="12" ht="25" hidden="1" customHeight="1" spans="1:30">
      <c r="A12" s="33" t="s">
        <v>258</v>
      </c>
      <c r="B12" s="47">
        <v>104</v>
      </c>
      <c r="C12" s="123">
        <v>74.3</v>
      </c>
      <c r="D12" s="43" t="s">
        <v>259</v>
      </c>
      <c r="E12" s="43" t="s">
        <v>260</v>
      </c>
      <c r="F12" s="43">
        <v>103</v>
      </c>
      <c r="G12" s="123">
        <v>68.4</v>
      </c>
      <c r="H12" s="43" t="s">
        <v>261</v>
      </c>
      <c r="I12" s="43" t="s">
        <v>262</v>
      </c>
      <c r="J12" s="43">
        <v>104</v>
      </c>
      <c r="K12" s="123">
        <v>71.5</v>
      </c>
      <c r="L12" s="43" t="s">
        <v>263</v>
      </c>
      <c r="M12" s="43" t="s">
        <v>264</v>
      </c>
      <c r="N12" s="144">
        <v>0.1004</v>
      </c>
      <c r="O12" s="70">
        <v>0.217932341466821</v>
      </c>
      <c r="P12" s="70">
        <v>0.168434279727343</v>
      </c>
      <c r="Q12" s="70">
        <v>0.166812401780192</v>
      </c>
      <c r="R12" s="1"/>
      <c r="Y12" s="33" t="s">
        <v>258</v>
      </c>
      <c r="Z12" s="32" t="str">
        <f t="shared" si="0"/>
        <v>74,3 (64.15; 86.40)</v>
      </c>
      <c r="AA12" s="32" t="str">
        <f t="shared" si="1"/>
        <v>68,4 (61.80; 81.90)</v>
      </c>
      <c r="AB12" s="32" t="str">
        <f t="shared" si="2"/>
        <v>71,5 (62.10; 82.80)</v>
      </c>
      <c r="AC12" s="70">
        <v>0.217932341466821</v>
      </c>
      <c r="AD12" s="70">
        <v>0.166812401780192</v>
      </c>
    </row>
    <row r="13" ht="15" customHeight="1" spans="1:30">
      <c r="A13" s="33" t="s">
        <v>265</v>
      </c>
      <c r="B13" s="47">
        <v>104</v>
      </c>
      <c r="C13" s="123">
        <v>28.33</v>
      </c>
      <c r="D13" s="43" t="s">
        <v>266</v>
      </c>
      <c r="E13" s="43" t="s">
        <v>267</v>
      </c>
      <c r="F13" s="43">
        <v>103</v>
      </c>
      <c r="G13" s="123">
        <v>26.22</v>
      </c>
      <c r="H13" s="43" t="s">
        <v>268</v>
      </c>
      <c r="I13" s="43" t="s">
        <v>269</v>
      </c>
      <c r="J13" s="43">
        <v>104</v>
      </c>
      <c r="K13" s="123">
        <v>26.76</v>
      </c>
      <c r="L13" s="43" t="s">
        <v>270</v>
      </c>
      <c r="M13" s="43" t="s">
        <v>271</v>
      </c>
      <c r="N13" s="141">
        <v>0.0246</v>
      </c>
      <c r="O13" s="70">
        <v>0.120795781077941</v>
      </c>
      <c r="P13" s="70">
        <v>0.168434279727343</v>
      </c>
      <c r="Q13" s="70">
        <v>0.137300497780809</v>
      </c>
      <c r="R13" s="1"/>
      <c r="Y13" s="33" t="s">
        <v>265</v>
      </c>
      <c r="Z13" s="32" t="str">
        <f t="shared" si="0"/>
        <v>28,33 (24.73; 32.18)</v>
      </c>
      <c r="AA13" s="32" t="str">
        <f t="shared" si="1"/>
        <v>26,22 (23.5; 29.94)</v>
      </c>
      <c r="AB13" s="32" t="str">
        <f t="shared" si="2"/>
        <v>26,76 (23.75; 29.86)</v>
      </c>
      <c r="AC13" s="70">
        <v>0.120795781077941</v>
      </c>
      <c r="AD13" s="70">
        <v>0.137300497780809</v>
      </c>
    </row>
    <row r="14" customHeight="1" spans="1:30">
      <c r="A14" s="33" t="s">
        <v>272</v>
      </c>
      <c r="B14" s="127">
        <v>104</v>
      </c>
      <c r="C14" s="123">
        <v>94.3</v>
      </c>
      <c r="D14" s="128" t="s">
        <v>273</v>
      </c>
      <c r="E14" s="128" t="s">
        <v>274</v>
      </c>
      <c r="F14" s="129">
        <v>103</v>
      </c>
      <c r="G14" s="123">
        <v>88.3</v>
      </c>
      <c r="H14" s="128" t="s">
        <v>275</v>
      </c>
      <c r="I14" s="128" t="s">
        <v>276</v>
      </c>
      <c r="J14" s="129">
        <v>104</v>
      </c>
      <c r="K14" s="123">
        <v>91.45</v>
      </c>
      <c r="L14" s="128" t="s">
        <v>277</v>
      </c>
      <c r="M14" s="128" t="s">
        <v>278</v>
      </c>
      <c r="N14" s="144">
        <v>0.1812</v>
      </c>
      <c r="O14" s="70">
        <v>0.290513248051307</v>
      </c>
      <c r="P14" s="70">
        <v>0.168434279727343</v>
      </c>
      <c r="Q14" s="70">
        <v>0.166812401780192</v>
      </c>
      <c r="R14" s="1"/>
      <c r="Y14" s="33" t="s">
        <v>272</v>
      </c>
      <c r="Z14" s="32" t="str">
        <f t="shared" si="0"/>
        <v>94,3 (82.68; 102.90)</v>
      </c>
      <c r="AA14" s="32" t="str">
        <f t="shared" si="1"/>
        <v>88,3 (81.00; 99.00)</v>
      </c>
      <c r="AB14" s="32" t="str">
        <f t="shared" si="2"/>
        <v>91,45 (81.83; 99.00)</v>
      </c>
      <c r="AC14" s="70">
        <v>0.290513248051307</v>
      </c>
      <c r="AD14" s="70">
        <v>0.166812401780192</v>
      </c>
    </row>
    <row r="15" customHeight="1" spans="1:30">
      <c r="A15" s="33" t="s">
        <v>14</v>
      </c>
      <c r="B15" s="47">
        <v>104</v>
      </c>
      <c r="C15" s="123">
        <v>34.83</v>
      </c>
      <c r="D15" s="43" t="s">
        <v>279</v>
      </c>
      <c r="E15" s="43" t="s">
        <v>280</v>
      </c>
      <c r="F15" s="43">
        <v>103</v>
      </c>
      <c r="G15" s="123">
        <v>34</v>
      </c>
      <c r="H15" s="43" t="s">
        <v>281</v>
      </c>
      <c r="I15" s="43" t="s">
        <v>282</v>
      </c>
      <c r="J15" s="43">
        <v>104</v>
      </c>
      <c r="K15" s="123">
        <v>32.41</v>
      </c>
      <c r="L15" s="43" t="s">
        <v>283</v>
      </c>
      <c r="M15" s="43" t="s">
        <v>284</v>
      </c>
      <c r="N15" s="43">
        <v>0.1259</v>
      </c>
      <c r="O15" s="70">
        <v>0.259333900468228</v>
      </c>
      <c r="P15" s="70">
        <v>0.168434279727343</v>
      </c>
      <c r="Q15" s="70">
        <v>0.144793392398476</v>
      </c>
      <c r="R15" s="1"/>
      <c r="Y15" s="33" t="s">
        <v>14</v>
      </c>
      <c r="Z15" s="32" t="str">
        <f t="shared" si="0"/>
        <v>34,83 (29.29; 40.24)</v>
      </c>
      <c r="AA15" s="32" t="str">
        <f t="shared" si="1"/>
        <v>34 (28.59; 39.81)</v>
      </c>
      <c r="AB15" s="32" t="str">
        <f t="shared" si="2"/>
        <v>32,41 (27.51; 38.43)</v>
      </c>
      <c r="AC15" s="70">
        <v>0.259333900468228</v>
      </c>
      <c r="AD15" s="70">
        <v>0.144793392398476</v>
      </c>
    </row>
    <row r="16" customHeight="1" spans="1:30">
      <c r="A16" s="33" t="s">
        <v>285</v>
      </c>
      <c r="B16" s="47">
        <v>104</v>
      </c>
      <c r="C16" s="123">
        <v>7.05</v>
      </c>
      <c r="D16" s="43" t="s">
        <v>286</v>
      </c>
      <c r="E16" s="43" t="s">
        <v>287</v>
      </c>
      <c r="F16" s="43">
        <v>103</v>
      </c>
      <c r="G16" s="123">
        <v>4.74</v>
      </c>
      <c r="H16" s="43" t="s">
        <v>288</v>
      </c>
      <c r="I16" s="43" t="s">
        <v>289</v>
      </c>
      <c r="J16" s="43">
        <v>104</v>
      </c>
      <c r="K16" s="123">
        <v>4.36</v>
      </c>
      <c r="L16" s="43" t="s">
        <v>290</v>
      </c>
      <c r="M16" s="43" t="s">
        <v>291</v>
      </c>
      <c r="N16" s="141">
        <v>0.0011</v>
      </c>
      <c r="O16" s="71">
        <v>0.0230874126698237</v>
      </c>
      <c r="P16" s="71">
        <v>0.0122248014035661</v>
      </c>
      <c r="Q16" s="71">
        <v>0.0146122537132344</v>
      </c>
      <c r="R16" s="1"/>
      <c r="U16" s="146" t="s">
        <v>292</v>
      </c>
      <c r="V16" s="146" t="s">
        <v>293</v>
      </c>
      <c r="W16" s="146" t="s">
        <v>294</v>
      </c>
      <c r="Y16" s="33" t="s">
        <v>285</v>
      </c>
      <c r="Z16" s="32" t="str">
        <f t="shared" si="0"/>
        <v>7,05 (3.17; 11.7)</v>
      </c>
      <c r="AA16" s="32" t="str">
        <f t="shared" si="1"/>
        <v>4,74 (1.13; 8.50)</v>
      </c>
      <c r="AB16" s="32" t="str">
        <f t="shared" si="2"/>
        <v>4,36 (2.11; 8.38)</v>
      </c>
      <c r="AC16" s="71">
        <v>0.0230874126698237</v>
      </c>
      <c r="AD16" s="71">
        <v>0.0146122537132344</v>
      </c>
    </row>
    <row r="17" customHeight="1" spans="1:30">
      <c r="A17" s="33" t="s">
        <v>295</v>
      </c>
      <c r="B17" s="47">
        <v>104</v>
      </c>
      <c r="C17" s="123">
        <v>5.32</v>
      </c>
      <c r="D17" s="43" t="s">
        <v>296</v>
      </c>
      <c r="E17" s="43" t="s">
        <v>297</v>
      </c>
      <c r="F17" s="43">
        <v>103</v>
      </c>
      <c r="G17" s="123">
        <v>6.26</v>
      </c>
      <c r="H17" s="43" t="s">
        <v>298</v>
      </c>
      <c r="I17" s="43" t="s">
        <v>299</v>
      </c>
      <c r="J17" s="43">
        <v>104</v>
      </c>
      <c r="K17" s="123">
        <v>6</v>
      </c>
      <c r="L17" s="43" t="s">
        <v>300</v>
      </c>
      <c r="M17" s="43" t="s">
        <v>301</v>
      </c>
      <c r="N17" s="43">
        <v>0.1478</v>
      </c>
      <c r="O17" s="70">
        <v>0.140543988371364</v>
      </c>
      <c r="P17" s="70">
        <v>0.168434279727343</v>
      </c>
      <c r="Q17" s="70">
        <v>0.166812401780192</v>
      </c>
      <c r="R17" s="1"/>
      <c r="T17" s="106" t="s">
        <v>302</v>
      </c>
      <c r="U17" s="107">
        <v>98</v>
      </c>
      <c r="V17" s="107">
        <v>101</v>
      </c>
      <c r="W17" s="107">
        <v>99</v>
      </c>
      <c r="Y17" s="33" t="s">
        <v>295</v>
      </c>
      <c r="Z17" s="32" t="str">
        <f t="shared" si="0"/>
        <v>5,32 (3.85; 7.36)</v>
      </c>
      <c r="AA17" s="32" t="str">
        <f t="shared" si="1"/>
        <v>6,26 (4.28; 8.56)</v>
      </c>
      <c r="AB17" s="32" t="str">
        <f t="shared" si="2"/>
        <v>6 (3.99; 8.43)</v>
      </c>
      <c r="AC17" s="70">
        <v>0.140543988371364</v>
      </c>
      <c r="AD17" s="70">
        <v>0.166812401780192</v>
      </c>
    </row>
    <row r="18" customHeight="1" spans="1:30">
      <c r="A18" s="33" t="s">
        <v>303</v>
      </c>
      <c r="B18" s="47">
        <v>104</v>
      </c>
      <c r="C18" s="128">
        <v>1.14</v>
      </c>
      <c r="D18" s="43" t="s">
        <v>304</v>
      </c>
      <c r="E18" s="43" t="s">
        <v>305</v>
      </c>
      <c r="F18" s="43">
        <v>103</v>
      </c>
      <c r="G18" s="128">
        <v>0.63</v>
      </c>
      <c r="H18" s="43" t="s">
        <v>306</v>
      </c>
      <c r="I18" s="43" t="s">
        <v>307</v>
      </c>
      <c r="J18" s="43">
        <v>104</v>
      </c>
      <c r="K18" s="128">
        <v>0.71</v>
      </c>
      <c r="L18" s="43" t="s">
        <v>308</v>
      </c>
      <c r="M18" s="43" t="s">
        <v>309</v>
      </c>
      <c r="N18" s="141" t="s">
        <v>243</v>
      </c>
      <c r="O18" s="71">
        <v>0.00092790763053653</v>
      </c>
      <c r="P18" s="71">
        <v>0.0037508718760912</v>
      </c>
      <c r="Q18" s="71">
        <v>0.00502577004113156</v>
      </c>
      <c r="R18" s="1"/>
      <c r="T18" s="106"/>
      <c r="U18" s="107"/>
      <c r="V18" s="107"/>
      <c r="W18" s="107"/>
      <c r="Y18" s="33" t="s">
        <v>303</v>
      </c>
      <c r="Z18" s="32" t="str">
        <f t="shared" si="0"/>
        <v>1,14 (0.65; 2.09)</v>
      </c>
      <c r="AA18" s="32" t="str">
        <f t="shared" si="1"/>
        <v>0,63 (0.25; 1.53)</v>
      </c>
      <c r="AB18" s="32" t="str">
        <f t="shared" si="2"/>
        <v>0,71 (0.32; 1.29)</v>
      </c>
      <c r="AC18" s="71">
        <v>0.00092790763053653</v>
      </c>
      <c r="AD18" s="71">
        <v>0.00502577004113156</v>
      </c>
    </row>
    <row r="19" spans="1:30">
      <c r="A19" s="33" t="s">
        <v>310</v>
      </c>
      <c r="B19" s="47">
        <v>104</v>
      </c>
      <c r="C19" s="123">
        <v>92.5</v>
      </c>
      <c r="D19" s="43" t="s">
        <v>311</v>
      </c>
      <c r="E19" s="43" t="s">
        <v>312</v>
      </c>
      <c r="F19" s="43">
        <v>103</v>
      </c>
      <c r="G19" s="123">
        <v>93.8</v>
      </c>
      <c r="H19" s="43" t="s">
        <v>313</v>
      </c>
      <c r="I19" s="43" t="s">
        <v>314</v>
      </c>
      <c r="J19" s="43">
        <v>104</v>
      </c>
      <c r="K19" s="123">
        <v>92.75</v>
      </c>
      <c r="L19" s="43" t="s">
        <v>315</v>
      </c>
      <c r="M19" s="43" t="s">
        <v>316</v>
      </c>
      <c r="N19" s="73">
        <v>0.981</v>
      </c>
      <c r="O19" s="70">
        <v>0.674387623830574</v>
      </c>
      <c r="P19" s="70">
        <v>0.420525423348585</v>
      </c>
      <c r="Q19" s="70">
        <v>0.552678652277808</v>
      </c>
      <c r="R19" s="1"/>
      <c r="T19" s="106" t="s">
        <v>317</v>
      </c>
      <c r="U19" s="107">
        <v>0.035</v>
      </c>
      <c r="V19" s="107">
        <v>0.023</v>
      </c>
      <c r="W19" s="107">
        <v>0.028</v>
      </c>
      <c r="Y19" s="33" t="s">
        <v>310</v>
      </c>
      <c r="Z19" s="32" t="str">
        <f t="shared" si="0"/>
        <v>92,5 (71.35; 114.00)</v>
      </c>
      <c r="AA19" s="32" t="str">
        <f t="shared" si="1"/>
        <v>93,8 (77.90; 106.00)</v>
      </c>
      <c r="AB19" s="32" t="str">
        <f t="shared" si="2"/>
        <v>92,75 (78.48; 108.30)</v>
      </c>
      <c r="AC19" s="70">
        <v>0.674387623830574</v>
      </c>
      <c r="AD19" s="70">
        <v>0.552678652277808</v>
      </c>
    </row>
    <row r="20" ht="16" customHeight="1" spans="1:30">
      <c r="A20" s="33" t="s">
        <v>318</v>
      </c>
      <c r="B20" s="47">
        <v>104</v>
      </c>
      <c r="C20" s="123">
        <v>43</v>
      </c>
      <c r="D20" s="128" t="s">
        <v>319</v>
      </c>
      <c r="E20" s="128" t="s">
        <v>320</v>
      </c>
      <c r="F20" s="43">
        <v>103</v>
      </c>
      <c r="G20" s="123">
        <v>45</v>
      </c>
      <c r="H20" s="128" t="s">
        <v>321</v>
      </c>
      <c r="I20" s="128" t="s">
        <v>322</v>
      </c>
      <c r="J20" s="43">
        <v>104</v>
      </c>
      <c r="K20" s="123">
        <v>44</v>
      </c>
      <c r="L20" s="128" t="s">
        <v>321</v>
      </c>
      <c r="M20" s="43" t="s">
        <v>323</v>
      </c>
      <c r="N20" s="73">
        <v>0.51</v>
      </c>
      <c r="O20" s="70">
        <v>0.436381526653021</v>
      </c>
      <c r="P20" s="70">
        <v>0.292388811151193</v>
      </c>
      <c r="Q20" s="70">
        <v>0.317309010437102</v>
      </c>
      <c r="R20" s="1"/>
      <c r="T20" s="106" t="s">
        <v>0</v>
      </c>
      <c r="U20" s="107">
        <v>0.09</v>
      </c>
      <c r="V20" s="107">
        <v>0.067</v>
      </c>
      <c r="W20" s="107">
        <v>0.11</v>
      </c>
      <c r="Y20" s="33" t="s">
        <v>318</v>
      </c>
      <c r="Z20" s="32" t="str">
        <f t="shared" si="0"/>
        <v>43 (36.00; 51.50)</v>
      </c>
      <c r="AA20" s="32" t="str">
        <f t="shared" si="1"/>
        <v>45 (37.00; 54.00)</v>
      </c>
      <c r="AB20" s="32" t="str">
        <f t="shared" si="2"/>
        <v>44 (37.00; 54.00)</v>
      </c>
      <c r="AC20" s="70">
        <v>0.436381526653021</v>
      </c>
      <c r="AD20" s="70">
        <v>0.317309010437102</v>
      </c>
    </row>
    <row r="21" spans="1:30">
      <c r="A21" s="33" t="s">
        <v>324</v>
      </c>
      <c r="B21" s="47">
        <v>104</v>
      </c>
      <c r="C21" s="123">
        <v>24.4</v>
      </c>
      <c r="D21" s="43" t="s">
        <v>325</v>
      </c>
      <c r="E21" s="43" t="s">
        <v>326</v>
      </c>
      <c r="F21" s="43">
        <v>103</v>
      </c>
      <c r="G21" s="123">
        <v>24</v>
      </c>
      <c r="H21" s="43" t="s">
        <v>327</v>
      </c>
      <c r="I21" s="43" t="s">
        <v>328</v>
      </c>
      <c r="J21" s="43">
        <v>104</v>
      </c>
      <c r="K21" s="123">
        <v>27</v>
      </c>
      <c r="L21" s="43" t="s">
        <v>329</v>
      </c>
      <c r="M21" s="43" t="s">
        <v>330</v>
      </c>
      <c r="N21" s="73">
        <v>0.4</v>
      </c>
      <c r="O21" s="70">
        <v>0.298483442725795</v>
      </c>
      <c r="P21" s="70">
        <v>0.217523819929303</v>
      </c>
      <c r="Q21" s="70">
        <v>0.274845874753069</v>
      </c>
      <c r="R21" s="1"/>
      <c r="T21" s="106" t="s">
        <v>331</v>
      </c>
      <c r="U21" s="107">
        <v>0.17</v>
      </c>
      <c r="V21" s="107">
        <v>0.15</v>
      </c>
      <c r="W21" s="107">
        <v>0.19</v>
      </c>
      <c r="Y21" s="33" t="s">
        <v>324</v>
      </c>
      <c r="Z21" s="32" t="str">
        <f t="shared" si="0"/>
        <v>24,4 (17.00; 37.85)</v>
      </c>
      <c r="AA21" s="32" t="str">
        <f t="shared" si="1"/>
        <v>24 (17.9; 32)</v>
      </c>
      <c r="AB21" s="32" t="str">
        <f t="shared" si="2"/>
        <v>27 (17.65; 37.40)</v>
      </c>
      <c r="AC21" s="70">
        <v>0.298483442725795</v>
      </c>
      <c r="AD21" s="70">
        <v>0.274845874753069</v>
      </c>
    </row>
    <row r="22" spans="1:30">
      <c r="A22" s="33" t="s">
        <v>332</v>
      </c>
      <c r="B22" s="47">
        <v>102</v>
      </c>
      <c r="C22" s="123">
        <v>109</v>
      </c>
      <c r="D22" s="43" t="s">
        <v>333</v>
      </c>
      <c r="E22" s="43" t="s">
        <v>334</v>
      </c>
      <c r="F22" s="43">
        <v>103</v>
      </c>
      <c r="G22" s="123">
        <v>113</v>
      </c>
      <c r="H22" s="43" t="s">
        <v>335</v>
      </c>
      <c r="I22" s="43" t="s">
        <v>336</v>
      </c>
      <c r="J22" s="43">
        <v>104</v>
      </c>
      <c r="K22" s="123">
        <v>115</v>
      </c>
      <c r="L22" s="43" t="s">
        <v>337</v>
      </c>
      <c r="M22" s="43" t="s">
        <v>338</v>
      </c>
      <c r="N22" s="73">
        <v>0.485</v>
      </c>
      <c r="O22" s="70">
        <v>0.665604379259658</v>
      </c>
      <c r="P22" s="70">
        <v>0.830503051852119</v>
      </c>
      <c r="Q22" s="70">
        <v>0.771631281568919</v>
      </c>
      <c r="R22" s="1"/>
      <c r="T22" s="106"/>
      <c r="U22" s="107"/>
      <c r="V22" s="107"/>
      <c r="W22" s="107"/>
      <c r="Y22" s="33" t="s">
        <v>332</v>
      </c>
      <c r="Z22" s="32" t="str">
        <f t="shared" si="0"/>
        <v>109 (89.75; 135.30)</v>
      </c>
      <c r="AA22" s="32" t="str">
        <f t="shared" si="1"/>
        <v>113 (96.00; 131.00)</v>
      </c>
      <c r="AB22" s="32" t="str">
        <f t="shared" si="2"/>
        <v>115 (93.00; 137.00)</v>
      </c>
      <c r="AC22" s="70">
        <v>0.665604379259658</v>
      </c>
      <c r="AD22" s="70">
        <v>0.771631281568919</v>
      </c>
    </row>
    <row r="23" spans="1:30">
      <c r="A23" s="33" t="s">
        <v>339</v>
      </c>
      <c r="B23" s="47">
        <v>104</v>
      </c>
      <c r="C23" s="123">
        <v>183</v>
      </c>
      <c r="D23" s="43" t="s">
        <v>340</v>
      </c>
      <c r="E23" s="43" t="s">
        <v>341</v>
      </c>
      <c r="F23" s="43">
        <v>103</v>
      </c>
      <c r="G23" s="123">
        <v>184</v>
      </c>
      <c r="H23" s="43" t="s">
        <v>342</v>
      </c>
      <c r="I23" s="43" t="s">
        <v>343</v>
      </c>
      <c r="J23" s="43">
        <v>104</v>
      </c>
      <c r="K23" s="123">
        <v>187</v>
      </c>
      <c r="L23" s="43" t="s">
        <v>344</v>
      </c>
      <c r="M23" s="43" t="s">
        <v>345</v>
      </c>
      <c r="N23" s="73">
        <v>0.431</v>
      </c>
      <c r="O23" s="70">
        <v>0.414931529089628</v>
      </c>
      <c r="P23" s="70">
        <v>0.497613752735518</v>
      </c>
      <c r="Q23" s="70">
        <v>0.538803534565051</v>
      </c>
      <c r="R23" s="1"/>
      <c r="T23" s="106" t="s">
        <v>346</v>
      </c>
      <c r="U23" s="107"/>
      <c r="V23" s="107"/>
      <c r="W23" s="107"/>
      <c r="Y23" s="33" t="s">
        <v>339</v>
      </c>
      <c r="Z23" s="32" t="str">
        <f t="shared" si="0"/>
        <v>183 (159.00; 210.75)</v>
      </c>
      <c r="AA23" s="32" t="str">
        <f t="shared" si="1"/>
        <v>184 (165.00; 203.00)</v>
      </c>
      <c r="AB23" s="32" t="str">
        <f t="shared" si="2"/>
        <v>187 (166.25; 210.00)</v>
      </c>
      <c r="AC23" s="70">
        <v>0.414931529089628</v>
      </c>
      <c r="AD23" s="70">
        <v>0.538803534565051</v>
      </c>
    </row>
    <row r="24" spans="1:30">
      <c r="A24" s="33" t="s">
        <v>347</v>
      </c>
      <c r="B24" s="47">
        <v>104</v>
      </c>
      <c r="C24" s="123">
        <v>122</v>
      </c>
      <c r="D24" s="43" t="s">
        <v>348</v>
      </c>
      <c r="E24" s="43" t="s">
        <v>349</v>
      </c>
      <c r="F24" s="43">
        <v>103</v>
      </c>
      <c r="G24" s="123">
        <v>121</v>
      </c>
      <c r="H24" s="43" t="s">
        <v>350</v>
      </c>
      <c r="I24" s="43" t="s">
        <v>351</v>
      </c>
      <c r="J24" s="43">
        <v>104</v>
      </c>
      <c r="K24" s="123">
        <v>131.5</v>
      </c>
      <c r="L24" s="43" t="s">
        <v>352</v>
      </c>
      <c r="M24" s="43" t="s">
        <v>353</v>
      </c>
      <c r="N24" s="73">
        <v>0.6419</v>
      </c>
      <c r="O24" s="70">
        <v>0.413702973263877</v>
      </c>
      <c r="P24" s="70">
        <v>0.258740470167578</v>
      </c>
      <c r="Q24" s="70">
        <v>0.30622001118291</v>
      </c>
      <c r="R24" s="1"/>
      <c r="T24" s="106" t="s">
        <v>354</v>
      </c>
      <c r="U24" s="107" t="s">
        <v>355</v>
      </c>
      <c r="V24" s="107" t="s">
        <v>356</v>
      </c>
      <c r="W24" s="107" t="s">
        <v>357</v>
      </c>
      <c r="Y24" s="33" t="s">
        <v>347</v>
      </c>
      <c r="Z24" s="32" t="str">
        <f t="shared" si="0"/>
        <v>122 (84.25; 188.00)</v>
      </c>
      <c r="AA24" s="32" t="str">
        <f t="shared" si="1"/>
        <v>121 (89.00; 161.00)</v>
      </c>
      <c r="AB24" s="32" t="str">
        <f t="shared" si="2"/>
        <v>131,5 (85.00; 186.75)</v>
      </c>
      <c r="AC24" s="70">
        <v>0.413702973263877</v>
      </c>
      <c r="AD24" s="70">
        <v>0.30622001118291</v>
      </c>
    </row>
    <row r="25" spans="1:30">
      <c r="A25" s="33" t="s">
        <v>49</v>
      </c>
      <c r="B25" s="47">
        <v>104</v>
      </c>
      <c r="C25" s="123">
        <v>4.077</v>
      </c>
      <c r="D25" s="43" t="s">
        <v>358</v>
      </c>
      <c r="E25" s="43" t="s">
        <v>359</v>
      </c>
      <c r="F25" s="43">
        <v>103</v>
      </c>
      <c r="G25" s="123">
        <v>3.96</v>
      </c>
      <c r="H25" s="43" t="s">
        <v>360</v>
      </c>
      <c r="I25" s="43" t="s">
        <v>361</v>
      </c>
      <c r="J25" s="43">
        <v>104</v>
      </c>
      <c r="K25" s="123">
        <v>4.3607</v>
      </c>
      <c r="L25" s="43" t="s">
        <v>362</v>
      </c>
      <c r="M25" s="43" t="s">
        <v>363</v>
      </c>
      <c r="N25" s="73">
        <v>0.8001</v>
      </c>
      <c r="O25" s="70">
        <v>0.626030464642729</v>
      </c>
      <c r="P25" s="70">
        <v>0.662795541563598</v>
      </c>
      <c r="Q25" s="70">
        <v>0.765374151109393</v>
      </c>
      <c r="R25" s="1"/>
      <c r="T25" s="106" t="s">
        <v>364</v>
      </c>
      <c r="U25" s="107">
        <v>0.067</v>
      </c>
      <c r="V25" s="107">
        <v>0.047</v>
      </c>
      <c r="W25" s="107">
        <v>0.069</v>
      </c>
      <c r="Y25" s="33" t="s">
        <v>49</v>
      </c>
      <c r="Z25" s="32" t="str">
        <f t="shared" si="0"/>
        <v>4,077 (3.34; 5.2261)</v>
      </c>
      <c r="AA25" s="32" t="str">
        <f t="shared" si="1"/>
        <v>3,96 (3.35; 5.11)</v>
      </c>
      <c r="AB25" s="32" t="str">
        <f t="shared" si="2"/>
        <v>4,3607 (3.32; 5.27)</v>
      </c>
      <c r="AC25" s="70">
        <v>0.626030464642729</v>
      </c>
      <c r="AD25" s="70">
        <v>0.765374151109393</v>
      </c>
    </row>
    <row r="26" hidden="1" customHeight="1" spans="1:28">
      <c r="A26" s="33" t="s">
        <v>365</v>
      </c>
      <c r="B26" s="47">
        <v>104</v>
      </c>
      <c r="C26" s="123">
        <v>0.42</v>
      </c>
      <c r="D26" s="43" t="s">
        <v>366</v>
      </c>
      <c r="E26" s="43" t="s">
        <v>367</v>
      </c>
      <c r="F26" s="43">
        <v>103</v>
      </c>
      <c r="G26" s="123">
        <v>0.42</v>
      </c>
      <c r="H26" s="43" t="s">
        <v>368</v>
      </c>
      <c r="I26" s="43" t="s">
        <v>369</v>
      </c>
      <c r="J26" s="43">
        <v>104</v>
      </c>
      <c r="K26" s="123">
        <v>0.49</v>
      </c>
      <c r="L26" s="43" t="s">
        <v>370</v>
      </c>
      <c r="M26" s="43" t="s">
        <v>371</v>
      </c>
      <c r="N26" s="73">
        <v>0.6824</v>
      </c>
      <c r="R26" s="1"/>
      <c r="T26" s="106" t="s">
        <v>372</v>
      </c>
      <c r="U26" s="107">
        <v>0.13</v>
      </c>
      <c r="V26" s="107">
        <v>0.098</v>
      </c>
      <c r="W26" s="107">
        <v>0.13</v>
      </c>
      <c r="Y26" s="33" t="s">
        <v>365</v>
      </c>
      <c r="Z26" s="32" t="str">
        <f t="shared" si="0"/>
        <v>0,42 (0.24; 0.70)</v>
      </c>
      <c r="AA26" s="32" t="str">
        <f t="shared" si="1"/>
        <v>0,42 (0.24; 0.65)</v>
      </c>
      <c r="AB26" s="32" t="str">
        <f t="shared" si="2"/>
        <v>0,49 (0.22; 0.72)</v>
      </c>
    </row>
    <row r="27" ht="25" hidden="1" customHeight="1" spans="1:30">
      <c r="A27" s="33" t="s">
        <v>373</v>
      </c>
      <c r="B27" s="47">
        <v>102</v>
      </c>
      <c r="C27" s="123">
        <v>157.3</v>
      </c>
      <c r="D27" s="43" t="s">
        <v>374</v>
      </c>
      <c r="E27" s="43" t="s">
        <v>375</v>
      </c>
      <c r="F27" s="43">
        <v>103</v>
      </c>
      <c r="G27" s="123">
        <v>134</v>
      </c>
      <c r="H27" s="43" t="s">
        <v>376</v>
      </c>
      <c r="I27" s="43" t="s">
        <v>377</v>
      </c>
      <c r="J27" s="43">
        <v>104</v>
      </c>
      <c r="K27" s="123">
        <v>137.1</v>
      </c>
      <c r="L27" s="43" t="s">
        <v>378</v>
      </c>
      <c r="M27" s="43" t="s">
        <v>379</v>
      </c>
      <c r="N27" s="73">
        <v>0.0601</v>
      </c>
      <c r="O27" s="70">
        <v>0.256116198089657</v>
      </c>
      <c r="P27" s="70">
        <v>0.168434279727343</v>
      </c>
      <c r="Q27" s="70">
        <v>0.093544250921362</v>
      </c>
      <c r="R27" s="1"/>
      <c r="T27" s="106"/>
      <c r="U27" s="107"/>
      <c r="V27" s="107"/>
      <c r="W27" s="107"/>
      <c r="Y27" s="33" t="s">
        <v>373</v>
      </c>
      <c r="Z27" s="32" t="str">
        <f t="shared" si="0"/>
        <v>157,3 (112.10; 203.10)</v>
      </c>
      <c r="AA27" s="32" t="str">
        <f t="shared" si="1"/>
        <v>134 (83.80; 205.90)</v>
      </c>
      <c r="AB27" s="32" t="str">
        <f t="shared" si="2"/>
        <v>137,1 (79.43; 190.60)</v>
      </c>
      <c r="AC27" s="70">
        <v>0.256116198089657</v>
      </c>
      <c r="AD27" s="70">
        <v>0.093544250921362</v>
      </c>
    </row>
    <row r="28" spans="1:30">
      <c r="A28" s="33" t="s">
        <v>380</v>
      </c>
      <c r="B28" s="47">
        <v>104</v>
      </c>
      <c r="C28" s="123">
        <v>2.1</v>
      </c>
      <c r="D28" s="43" t="s">
        <v>381</v>
      </c>
      <c r="E28" s="43" t="s">
        <v>382</v>
      </c>
      <c r="F28" s="43">
        <v>103</v>
      </c>
      <c r="G28" s="123">
        <v>1.9</v>
      </c>
      <c r="H28" s="43" t="s">
        <v>383</v>
      </c>
      <c r="I28" s="43" t="s">
        <v>384</v>
      </c>
      <c r="J28" s="43">
        <v>104</v>
      </c>
      <c r="K28" s="123">
        <v>1.71</v>
      </c>
      <c r="L28" s="43" t="s">
        <v>385</v>
      </c>
      <c r="M28" s="43" t="s">
        <v>386</v>
      </c>
      <c r="N28" s="73">
        <v>0.1095</v>
      </c>
      <c r="O28" s="70">
        <v>0.189688317338232</v>
      </c>
      <c r="P28" s="70">
        <v>0.418026558126516</v>
      </c>
      <c r="Q28" s="70">
        <v>0.482605769398084</v>
      </c>
      <c r="R28" s="1"/>
      <c r="T28" s="106" t="s">
        <v>102</v>
      </c>
      <c r="U28" s="107">
        <v>0.11</v>
      </c>
      <c r="V28" s="107">
        <v>0.1</v>
      </c>
      <c r="W28" s="107">
        <v>0.13</v>
      </c>
      <c r="Y28" s="33" t="s">
        <v>380</v>
      </c>
      <c r="Z28" s="32" t="str">
        <f t="shared" si="0"/>
        <v>2,1 (1.40; 3.88)</v>
      </c>
      <c r="AA28" s="32" t="str">
        <f t="shared" si="1"/>
        <v>1,9 (0.91; 3.30)</v>
      </c>
      <c r="AB28" s="32" t="str">
        <f t="shared" si="2"/>
        <v>1,71 (0.90; 3.28)</v>
      </c>
      <c r="AC28" s="70">
        <v>0.189688317338232</v>
      </c>
      <c r="AD28" s="70">
        <v>0.482605769398084</v>
      </c>
    </row>
    <row r="29" spans="1:30">
      <c r="A29" s="33" t="s">
        <v>387</v>
      </c>
      <c r="B29" s="47">
        <v>104</v>
      </c>
      <c r="C29" s="123">
        <v>86</v>
      </c>
      <c r="D29" s="43" t="s">
        <v>388</v>
      </c>
      <c r="E29" s="43" t="s">
        <v>389</v>
      </c>
      <c r="F29" s="43">
        <v>103</v>
      </c>
      <c r="G29" s="123">
        <v>86</v>
      </c>
      <c r="H29" s="43" t="s">
        <v>390</v>
      </c>
      <c r="I29" s="43" t="s">
        <v>391</v>
      </c>
      <c r="J29" s="43">
        <v>104</v>
      </c>
      <c r="K29" s="123">
        <v>84.5</v>
      </c>
      <c r="L29" s="43" t="s">
        <v>390</v>
      </c>
      <c r="M29" s="43" t="s">
        <v>392</v>
      </c>
      <c r="N29" s="73">
        <v>0.3577</v>
      </c>
      <c r="O29" s="70">
        <v>0.495342814072355</v>
      </c>
      <c r="P29" s="70">
        <v>0.345626113495957</v>
      </c>
      <c r="Q29" s="70">
        <v>0.319414377016443</v>
      </c>
      <c r="R29" s="1"/>
      <c r="T29" s="106" t="s">
        <v>393</v>
      </c>
      <c r="U29" s="107">
        <v>0.092</v>
      </c>
      <c r="V29" s="107">
        <v>0.096</v>
      </c>
      <c r="W29" s="107">
        <v>0.12</v>
      </c>
      <c r="Y29" s="33" t="s">
        <v>387</v>
      </c>
      <c r="Z29" s="32" t="str">
        <f t="shared" si="0"/>
        <v>86 (82.00; 92.75)</v>
      </c>
      <c r="AA29" s="32" t="str">
        <f t="shared" si="1"/>
        <v>86 (80.00; 91.00)</v>
      </c>
      <c r="AB29" s="32" t="str">
        <f t="shared" si="2"/>
        <v>84,5 (80.00; 91.00)</v>
      </c>
      <c r="AC29" s="70">
        <v>0.495342814072355</v>
      </c>
      <c r="AD29" s="70">
        <v>0.319414377016443</v>
      </c>
    </row>
    <row r="30" spans="1:30">
      <c r="A30" s="33" t="s">
        <v>394</v>
      </c>
      <c r="B30" s="47">
        <v>104</v>
      </c>
      <c r="C30" s="123">
        <v>12.09</v>
      </c>
      <c r="D30" s="43" t="s">
        <v>395</v>
      </c>
      <c r="E30" s="43" t="s">
        <v>396</v>
      </c>
      <c r="F30" s="43">
        <v>103</v>
      </c>
      <c r="G30" s="123">
        <v>9.07</v>
      </c>
      <c r="H30" s="43" t="s">
        <v>397</v>
      </c>
      <c r="I30" s="43" t="s">
        <v>398</v>
      </c>
      <c r="J30" s="43">
        <v>104</v>
      </c>
      <c r="K30" s="123">
        <v>10.07</v>
      </c>
      <c r="L30" s="43" t="s">
        <v>399</v>
      </c>
      <c r="M30" s="43" t="s">
        <v>400</v>
      </c>
      <c r="N30" s="145">
        <v>0.0047</v>
      </c>
      <c r="O30" s="71">
        <v>0.020800987955843</v>
      </c>
      <c r="P30" s="71">
        <v>0.0143410767208554</v>
      </c>
      <c r="Q30" s="71">
        <v>0.0162018891742918</v>
      </c>
      <c r="R30" s="1"/>
      <c r="Y30" s="33" t="s">
        <v>394</v>
      </c>
      <c r="Z30" s="32" t="str">
        <f t="shared" si="0"/>
        <v>12,09 (9.12; 18.76)</v>
      </c>
      <c r="AA30" s="32" t="str">
        <f t="shared" si="1"/>
        <v>9,07 (6.72; 15.19)</v>
      </c>
      <c r="AB30" s="32" t="str">
        <f t="shared" si="2"/>
        <v>10,07 (7.46; 15.71)</v>
      </c>
      <c r="AC30" s="71">
        <v>0.020800987955843</v>
      </c>
      <c r="AD30" s="71">
        <v>0.0162018891742918</v>
      </c>
    </row>
    <row r="31" spans="1:30">
      <c r="A31" s="33" t="s">
        <v>401</v>
      </c>
      <c r="B31" s="47">
        <v>104</v>
      </c>
      <c r="C31" s="123">
        <v>5.42</v>
      </c>
      <c r="D31" s="43" t="s">
        <v>402</v>
      </c>
      <c r="E31" s="43" t="s">
        <v>403</v>
      </c>
      <c r="F31" s="43">
        <v>103</v>
      </c>
      <c r="G31" s="123">
        <v>5.42</v>
      </c>
      <c r="H31" s="43" t="s">
        <v>404</v>
      </c>
      <c r="I31" s="43" t="s">
        <v>405</v>
      </c>
      <c r="J31" s="43">
        <v>104</v>
      </c>
      <c r="K31" s="123">
        <v>5.5</v>
      </c>
      <c r="L31" s="43" t="s">
        <v>406</v>
      </c>
      <c r="M31" s="43" t="s">
        <v>407</v>
      </c>
      <c r="N31" s="73">
        <v>0.0693</v>
      </c>
      <c r="O31" s="70">
        <v>0.377280364216626</v>
      </c>
      <c r="P31" s="70">
        <v>0.420525423348585</v>
      </c>
      <c r="Q31" s="70">
        <v>0.457461519531433</v>
      </c>
      <c r="R31" s="1"/>
      <c r="Y31" s="33" t="s">
        <v>401</v>
      </c>
      <c r="Z31" s="32" t="str">
        <f t="shared" si="0"/>
        <v>5,42 (5.20; 5.70)</v>
      </c>
      <c r="AA31" s="32" t="str">
        <f t="shared" si="1"/>
        <v>5,42 (5.20; 5.68)</v>
      </c>
      <c r="AB31" s="32" t="str">
        <f t="shared" si="2"/>
        <v>5,5 (5.30; 5.80)</v>
      </c>
      <c r="AC31" s="70">
        <v>0.377280364216626</v>
      </c>
      <c r="AD31" s="70">
        <v>0.457461519531433</v>
      </c>
    </row>
    <row r="32" ht="25" hidden="1" customHeight="1" spans="1:30">
      <c r="A32" s="33" t="s">
        <v>408</v>
      </c>
      <c r="B32" s="47">
        <v>104</v>
      </c>
      <c r="C32" s="123">
        <v>198.81</v>
      </c>
      <c r="D32" s="43" t="s">
        <v>409</v>
      </c>
      <c r="E32" s="43" t="s">
        <v>410</v>
      </c>
      <c r="F32" s="43">
        <v>103</v>
      </c>
      <c r="G32" s="123">
        <v>159.31</v>
      </c>
      <c r="H32" s="43" t="s">
        <v>411</v>
      </c>
      <c r="I32" s="43" t="s">
        <v>412</v>
      </c>
      <c r="J32" s="43">
        <v>104</v>
      </c>
      <c r="K32" s="123">
        <v>180.27</v>
      </c>
      <c r="L32" s="43" t="s">
        <v>413</v>
      </c>
      <c r="M32" s="43" t="s">
        <v>414</v>
      </c>
      <c r="N32" s="73">
        <v>0.0693</v>
      </c>
      <c r="O32" s="1"/>
      <c r="P32" s="1"/>
      <c r="Q32" s="1"/>
      <c r="R32" s="1"/>
      <c r="Y32" s="33" t="s">
        <v>408</v>
      </c>
      <c r="Z32" s="32" t="str">
        <f t="shared" si="0"/>
        <v>198,81 (127.67; 293.01)</v>
      </c>
      <c r="AA32" s="32" t="str">
        <f t="shared" si="1"/>
        <v>159,31 (112.42; 242.4)</v>
      </c>
      <c r="AB32" s="32" t="str">
        <f t="shared" si="2"/>
        <v>180,27 (113.5; 268.36)</v>
      </c>
      <c r="AC32" s="1"/>
      <c r="AD32" s="1"/>
    </row>
    <row r="33" ht="25" hidden="1" customHeight="1" spans="1:30">
      <c r="A33" s="33" t="s">
        <v>415</v>
      </c>
      <c r="B33" s="47">
        <v>104</v>
      </c>
      <c r="C33" s="123">
        <v>36.74</v>
      </c>
      <c r="D33" s="43" t="s">
        <v>416</v>
      </c>
      <c r="E33" s="43" t="s">
        <v>417</v>
      </c>
      <c r="F33" s="43">
        <v>103</v>
      </c>
      <c r="G33" s="123">
        <v>50.63</v>
      </c>
      <c r="H33" s="43" t="s">
        <v>418</v>
      </c>
      <c r="I33" s="43" t="s">
        <v>419</v>
      </c>
      <c r="J33" s="43">
        <v>104</v>
      </c>
      <c r="K33" s="123">
        <v>49.49</v>
      </c>
      <c r="L33" s="43" t="s">
        <v>420</v>
      </c>
      <c r="M33" s="43" t="s">
        <v>421</v>
      </c>
      <c r="N33" s="73">
        <v>0.0065</v>
      </c>
      <c r="O33" s="1"/>
      <c r="P33" s="1"/>
      <c r="Q33" s="1"/>
      <c r="R33" s="1"/>
      <c r="Y33" s="33" t="s">
        <v>415</v>
      </c>
      <c r="Z33" s="32" t="str">
        <f t="shared" si="0"/>
        <v>36,74 (25.65; 53.05)</v>
      </c>
      <c r="AA33" s="32" t="str">
        <f t="shared" si="1"/>
        <v>50,63 (29.03; 71.47)</v>
      </c>
      <c r="AB33" s="32" t="str">
        <f t="shared" si="2"/>
        <v>49,49 (27.27; 62.44)</v>
      </c>
      <c r="AC33" s="1"/>
      <c r="AD33" s="1"/>
    </row>
    <row r="34" spans="1:30">
      <c r="A34" s="33" t="s">
        <v>74</v>
      </c>
      <c r="B34" s="47">
        <v>104</v>
      </c>
      <c r="C34" s="123">
        <v>2.72</v>
      </c>
      <c r="D34" s="43" t="s">
        <v>422</v>
      </c>
      <c r="E34" s="43" t="s">
        <v>423</v>
      </c>
      <c r="F34" s="43">
        <v>103</v>
      </c>
      <c r="G34" s="123">
        <v>1.98</v>
      </c>
      <c r="H34" s="43" t="s">
        <v>424</v>
      </c>
      <c r="I34" s="43" t="s">
        <v>425</v>
      </c>
      <c r="J34" s="43">
        <v>104</v>
      </c>
      <c r="K34" s="123">
        <v>2.02</v>
      </c>
      <c r="L34" s="43" t="s">
        <v>426</v>
      </c>
      <c r="M34" s="43" t="s">
        <v>427</v>
      </c>
      <c r="N34" s="145">
        <v>0.0065</v>
      </c>
      <c r="O34" s="71">
        <v>0.0208570473317452</v>
      </c>
      <c r="P34" s="71">
        <v>0.0143410767208554</v>
      </c>
      <c r="Q34" s="71">
        <v>0.0162018891742918</v>
      </c>
      <c r="R34" s="1"/>
      <c r="Y34" s="33" t="s">
        <v>74</v>
      </c>
      <c r="Z34" s="32" t="str">
        <f t="shared" si="0"/>
        <v>2,72 (1.89; 3.9)</v>
      </c>
      <c r="AA34" s="32" t="str">
        <f t="shared" si="1"/>
        <v>1,98 (1.4; 3.44)</v>
      </c>
      <c r="AB34" s="32" t="str">
        <f t="shared" si="2"/>
        <v>2,02 (1.6; 3.67)</v>
      </c>
      <c r="AC34" s="71">
        <v>0.0208570473317452</v>
      </c>
      <c r="AD34" s="71">
        <v>0.0162018891742918</v>
      </c>
    </row>
    <row r="35" ht="25" hidden="1" customHeight="1" spans="1:28">
      <c r="A35" s="33" t="s">
        <v>428</v>
      </c>
      <c r="B35" s="47">
        <v>104</v>
      </c>
      <c r="C35" s="123">
        <v>0.328</v>
      </c>
      <c r="D35" s="43" t="s">
        <v>429</v>
      </c>
      <c r="E35" s="43" t="s">
        <v>430</v>
      </c>
      <c r="F35" s="43">
        <v>103</v>
      </c>
      <c r="G35" s="123">
        <v>0.344</v>
      </c>
      <c r="H35" s="43" t="s">
        <v>431</v>
      </c>
      <c r="I35" s="43" t="s">
        <v>432</v>
      </c>
      <c r="J35" s="43">
        <v>104</v>
      </c>
      <c r="K35" s="123">
        <v>0.343</v>
      </c>
      <c r="L35" s="43" t="s">
        <v>433</v>
      </c>
      <c r="M35" s="43" t="s">
        <v>434</v>
      </c>
      <c r="N35" s="73">
        <v>0.0065</v>
      </c>
      <c r="R35" s="1"/>
      <c r="Y35" s="33" t="s">
        <v>428</v>
      </c>
      <c r="Z35" s="32" t="str">
        <f t="shared" si="0"/>
        <v>0,328 (0.312; 0.346)</v>
      </c>
      <c r="AA35" s="32" t="str">
        <f t="shared" si="1"/>
        <v>0,344 (0.318; 0.363)</v>
      </c>
      <c r="AB35" s="32" t="str">
        <f t="shared" si="2"/>
        <v>0,343 (0.315; 0.355)</v>
      </c>
    </row>
    <row r="36" spans="1:30">
      <c r="A36" s="33" t="s">
        <v>435</v>
      </c>
      <c r="B36" s="47">
        <v>103</v>
      </c>
      <c r="C36" s="123">
        <v>122</v>
      </c>
      <c r="D36" s="43" t="s">
        <v>436</v>
      </c>
      <c r="E36" s="43" t="s">
        <v>437</v>
      </c>
      <c r="F36" s="43">
        <v>103</v>
      </c>
      <c r="G36" s="123">
        <v>123</v>
      </c>
      <c r="H36" s="43" t="s">
        <v>438</v>
      </c>
      <c r="I36" s="43" t="s">
        <v>439</v>
      </c>
      <c r="J36" s="43">
        <v>104</v>
      </c>
      <c r="K36" s="123">
        <v>122</v>
      </c>
      <c r="L36" s="43" t="s">
        <v>440</v>
      </c>
      <c r="M36" s="43" t="s">
        <v>441</v>
      </c>
      <c r="N36" s="73">
        <v>0.8323</v>
      </c>
      <c r="O36" s="70">
        <v>0.91521048258357</v>
      </c>
      <c r="P36" s="70">
        <v>0.730274084673059</v>
      </c>
      <c r="Q36" s="70">
        <v>0.771631281568919</v>
      </c>
      <c r="R36" s="1"/>
      <c r="Y36" s="33" t="s">
        <v>435</v>
      </c>
      <c r="Z36" s="32" t="str">
        <f t="shared" si="0"/>
        <v>122 (108.00; 134.00)</v>
      </c>
      <c r="AA36" s="32" t="str">
        <f t="shared" si="1"/>
        <v>123 (111.00; 136.00)</v>
      </c>
      <c r="AB36" s="32" t="str">
        <f t="shared" si="2"/>
        <v>122 (109.50; 135.00)</v>
      </c>
      <c r="AC36" s="70">
        <v>0.91521048258357</v>
      </c>
      <c r="AD36" s="70">
        <v>0.771631281568919</v>
      </c>
    </row>
    <row r="37" spans="1:30">
      <c r="A37" s="33" t="s">
        <v>442</v>
      </c>
      <c r="B37" s="47">
        <v>104</v>
      </c>
      <c r="C37" s="123">
        <v>80.5</v>
      </c>
      <c r="D37" s="43" t="s">
        <v>443</v>
      </c>
      <c r="E37" s="43" t="s">
        <v>444</v>
      </c>
      <c r="F37" s="43">
        <v>103</v>
      </c>
      <c r="G37" s="123">
        <v>79</v>
      </c>
      <c r="H37" s="43" t="s">
        <v>445</v>
      </c>
      <c r="I37" s="43" t="s">
        <v>446</v>
      </c>
      <c r="J37" s="43">
        <v>104</v>
      </c>
      <c r="K37" s="123">
        <v>78</v>
      </c>
      <c r="L37" s="43" t="s">
        <v>447</v>
      </c>
      <c r="M37" s="43" t="s">
        <v>448</v>
      </c>
      <c r="N37" s="73">
        <v>0.5084</v>
      </c>
      <c r="O37" s="70">
        <v>0.626030464642729</v>
      </c>
      <c r="P37" s="70">
        <v>0.292388811151193</v>
      </c>
      <c r="Q37" s="70">
        <v>0.425816721114237</v>
      </c>
      <c r="R37" s="1"/>
      <c r="Y37" s="33" t="s">
        <v>442</v>
      </c>
      <c r="Z37" s="32" t="str">
        <f t="shared" si="0"/>
        <v>80,5 (72.00; 89.75)</v>
      </c>
      <c r="AA37" s="32" t="str">
        <f t="shared" si="1"/>
        <v>79 (71.00; 87.00)</v>
      </c>
      <c r="AB37" s="32" t="str">
        <f t="shared" si="2"/>
        <v>78 (69.00; 86.75)</v>
      </c>
      <c r="AC37" s="70">
        <v>0.626030464642729</v>
      </c>
      <c r="AD37" s="70">
        <v>0.425816721114237</v>
      </c>
    </row>
    <row r="38" spans="1:30">
      <c r="A38" s="33" t="s">
        <v>449</v>
      </c>
      <c r="B38" s="130"/>
      <c r="C38" s="131"/>
      <c r="D38" s="130"/>
      <c r="E38" s="130"/>
      <c r="F38" s="130"/>
      <c r="G38" s="131"/>
      <c r="H38" s="130"/>
      <c r="I38" s="130"/>
      <c r="J38" s="130"/>
      <c r="K38" s="131"/>
      <c r="L38" s="130"/>
      <c r="M38" s="130"/>
      <c r="N38" s="35"/>
      <c r="O38" s="1"/>
      <c r="P38" s="1"/>
      <c r="Q38" s="1"/>
      <c r="R38" s="1"/>
      <c r="Y38" s="33" t="s">
        <v>449</v>
      </c>
      <c r="Z38" s="32"/>
      <c r="AA38" s="32" t="str">
        <f t="shared" si="1"/>
        <v> ()</v>
      </c>
      <c r="AB38" s="32"/>
      <c r="AC38" s="1"/>
      <c r="AD38" s="1"/>
    </row>
    <row r="39" ht="25" hidden="1" customHeight="1" spans="1:30">
      <c r="A39" s="38" t="s">
        <v>450</v>
      </c>
      <c r="B39" s="47">
        <v>104</v>
      </c>
      <c r="C39" s="123">
        <v>1888.1</v>
      </c>
      <c r="D39" s="43" t="s">
        <v>451</v>
      </c>
      <c r="E39" s="43" t="s">
        <v>452</v>
      </c>
      <c r="F39" s="43">
        <v>103</v>
      </c>
      <c r="G39" s="123">
        <v>1928.73</v>
      </c>
      <c r="H39" s="43" t="s">
        <v>453</v>
      </c>
      <c r="I39" s="43" t="s">
        <v>454</v>
      </c>
      <c r="J39" s="43">
        <v>104</v>
      </c>
      <c r="K39" s="123">
        <v>1958.35</v>
      </c>
      <c r="L39" s="43" t="s">
        <v>455</v>
      </c>
      <c r="M39" s="43" t="s">
        <v>456</v>
      </c>
      <c r="N39" s="73">
        <v>0.4495</v>
      </c>
      <c r="O39" s="1"/>
      <c r="P39" s="1"/>
      <c r="Q39" s="1"/>
      <c r="R39" s="1"/>
      <c r="Y39" s="38" t="s">
        <v>450</v>
      </c>
      <c r="Z39" s="32" t="str">
        <f t="shared" si="0"/>
        <v>1888,1 (1733.59; 2100.99)</v>
      </c>
      <c r="AA39" s="32" t="str">
        <f t="shared" ref="AA39:AA64" si="3">CONCATENATE(G39," (",H39,")")</f>
        <v>1928,73 (1759.7; 2162.01)</v>
      </c>
      <c r="AB39" s="32" t="str">
        <f t="shared" si="2"/>
        <v>1958,35 (1765.71; 2174.02)</v>
      </c>
      <c r="AC39" s="1"/>
      <c r="AD39" s="1"/>
    </row>
    <row r="40" spans="1:30">
      <c r="A40" s="38" t="s">
        <v>457</v>
      </c>
      <c r="B40" s="47">
        <v>104</v>
      </c>
      <c r="C40" s="123">
        <v>14.9</v>
      </c>
      <c r="D40" s="43" t="s">
        <v>458</v>
      </c>
      <c r="E40" s="43" t="s">
        <v>459</v>
      </c>
      <c r="F40" s="43">
        <v>103</v>
      </c>
      <c r="G40" s="123">
        <v>17.62</v>
      </c>
      <c r="H40" s="43" t="s">
        <v>460</v>
      </c>
      <c r="I40" s="43" t="s">
        <v>461</v>
      </c>
      <c r="J40" s="43">
        <v>104</v>
      </c>
      <c r="K40" s="123">
        <v>20.07</v>
      </c>
      <c r="L40" s="43" t="s">
        <v>462</v>
      </c>
      <c r="M40" s="43" t="s">
        <v>463</v>
      </c>
      <c r="N40" s="145" t="s">
        <v>243</v>
      </c>
      <c r="O40" s="60">
        <v>1.7126331236126e-11</v>
      </c>
      <c r="P40" s="60">
        <v>2.26300031328699e-10</v>
      </c>
      <c r="Q40" s="60">
        <v>5.83942168733671e-10</v>
      </c>
      <c r="R40" s="1"/>
      <c r="Y40" s="38" t="s">
        <v>457</v>
      </c>
      <c r="Z40" s="32" t="str">
        <f t="shared" si="0"/>
        <v>14,9 (13.11; 17.55)</v>
      </c>
      <c r="AA40" s="32" t="str">
        <f t="shared" si="3"/>
        <v>17,62 (15.72; 20.13)</v>
      </c>
      <c r="AB40" s="32" t="str">
        <f t="shared" si="2"/>
        <v>20,07 (16.66; 22.89)</v>
      </c>
      <c r="AC40" s="60">
        <v>1.7126331236126e-11</v>
      </c>
      <c r="AD40" s="60">
        <v>5.83942168733671e-10</v>
      </c>
    </row>
    <row r="41" spans="1:30">
      <c r="A41" s="38" t="s">
        <v>464</v>
      </c>
      <c r="B41" s="47">
        <v>104</v>
      </c>
      <c r="C41" s="123">
        <v>591.45</v>
      </c>
      <c r="D41" s="43" t="s">
        <v>465</v>
      </c>
      <c r="E41" s="43" t="s">
        <v>466</v>
      </c>
      <c r="F41" s="43">
        <v>103</v>
      </c>
      <c r="G41" s="123">
        <v>639.15</v>
      </c>
      <c r="H41" s="43" t="s">
        <v>467</v>
      </c>
      <c r="I41" s="43" t="s">
        <v>468</v>
      </c>
      <c r="J41" s="43">
        <v>104</v>
      </c>
      <c r="K41" s="123">
        <v>626.29</v>
      </c>
      <c r="L41" s="43" t="s">
        <v>469</v>
      </c>
      <c r="M41" s="43" t="s">
        <v>470</v>
      </c>
      <c r="N41" s="73">
        <v>0.3176</v>
      </c>
      <c r="O41" s="70">
        <v>0.351210907968543</v>
      </c>
      <c r="P41" s="70">
        <v>0.258740470167578</v>
      </c>
      <c r="Q41" s="70">
        <v>0.216118571842327</v>
      </c>
      <c r="R41" s="1"/>
      <c r="Y41" s="38" t="s">
        <v>464</v>
      </c>
      <c r="Z41" s="32" t="str">
        <f t="shared" si="0"/>
        <v>591,45 (432.64; 741.99)</v>
      </c>
      <c r="AA41" s="32" t="str">
        <f t="shared" si="3"/>
        <v>639,15 (485.58; 789.39)</v>
      </c>
      <c r="AB41" s="32" t="str">
        <f t="shared" si="2"/>
        <v>626,29 (478.37; 779.11)</v>
      </c>
      <c r="AC41" s="70">
        <v>0.351210907968543</v>
      </c>
      <c r="AD41" s="70">
        <v>0.216118571842327</v>
      </c>
    </row>
    <row r="42" spans="1:30">
      <c r="A42" s="38" t="s">
        <v>471</v>
      </c>
      <c r="B42" s="47">
        <v>104</v>
      </c>
      <c r="C42" s="123">
        <v>977.29</v>
      </c>
      <c r="D42" s="43" t="s">
        <v>472</v>
      </c>
      <c r="E42" s="43" t="s">
        <v>473</v>
      </c>
      <c r="F42" s="43">
        <v>103</v>
      </c>
      <c r="G42" s="123">
        <v>1048.4</v>
      </c>
      <c r="H42" s="43" t="s">
        <v>474</v>
      </c>
      <c r="I42" s="43" t="s">
        <v>475</v>
      </c>
      <c r="J42" s="43">
        <v>104</v>
      </c>
      <c r="K42" s="123">
        <v>1050</v>
      </c>
      <c r="L42" s="43" t="s">
        <v>476</v>
      </c>
      <c r="M42" s="43" t="s">
        <v>477</v>
      </c>
      <c r="N42" s="73">
        <v>0.1598</v>
      </c>
      <c r="O42" s="70">
        <v>0.212842537994236</v>
      </c>
      <c r="P42" s="70">
        <v>0.205325045481453</v>
      </c>
      <c r="Q42" s="70">
        <v>0.166812401780192</v>
      </c>
      <c r="R42" s="1"/>
      <c r="Y42" s="38" t="s">
        <v>471</v>
      </c>
      <c r="Z42" s="32" t="str">
        <f t="shared" si="0"/>
        <v>977,29 (886.58; 1155.1)</v>
      </c>
      <c r="AA42" s="32" t="str">
        <f t="shared" si="3"/>
        <v>1048,4 (918.61; 1140.2)</v>
      </c>
      <c r="AB42" s="32" t="str">
        <f t="shared" si="2"/>
        <v>1050 (945.33; 1159.9)</v>
      </c>
      <c r="AC42" s="70">
        <v>0.212842537994236</v>
      </c>
      <c r="AD42" s="70">
        <v>0.166812401780192</v>
      </c>
    </row>
    <row r="43" spans="1:30">
      <c r="A43" s="38" t="s">
        <v>478</v>
      </c>
      <c r="B43" s="47">
        <v>104</v>
      </c>
      <c r="C43" s="123">
        <v>12.84</v>
      </c>
      <c r="D43" s="43" t="s">
        <v>479</v>
      </c>
      <c r="E43" s="43" t="s">
        <v>480</v>
      </c>
      <c r="F43" s="43">
        <v>103</v>
      </c>
      <c r="G43" s="123">
        <v>13.47</v>
      </c>
      <c r="H43" s="43" t="s">
        <v>481</v>
      </c>
      <c r="I43" s="43" t="s">
        <v>482</v>
      </c>
      <c r="J43" s="43">
        <v>104</v>
      </c>
      <c r="K43" s="123">
        <v>13.87</v>
      </c>
      <c r="L43" s="43" t="s">
        <v>483</v>
      </c>
      <c r="M43" s="43" t="s">
        <v>484</v>
      </c>
      <c r="N43" s="145">
        <v>0.0009</v>
      </c>
      <c r="O43" s="71">
        <v>0.00249403387073976</v>
      </c>
      <c r="P43" s="71">
        <v>0.0200200645723078</v>
      </c>
      <c r="Q43" s="71">
        <v>0.0227378225508904</v>
      </c>
      <c r="R43" s="1"/>
      <c r="Y43" s="38" t="s">
        <v>478</v>
      </c>
      <c r="Z43" s="32" t="str">
        <f t="shared" si="0"/>
        <v>12,84 (11.85; 14.43)</v>
      </c>
      <c r="AA43" s="32" t="str">
        <f t="shared" si="3"/>
        <v>13,47 (12.08; 14.42)</v>
      </c>
      <c r="AB43" s="32" t="str">
        <f t="shared" si="2"/>
        <v>13,87 (12.76; 15.03)</v>
      </c>
      <c r="AC43" s="71">
        <v>0.00249403387073976</v>
      </c>
      <c r="AD43" s="71">
        <v>0.0227378225508904</v>
      </c>
    </row>
    <row r="44" spans="1:30">
      <c r="A44" s="38" t="s">
        <v>485</v>
      </c>
      <c r="B44" s="47">
        <v>104</v>
      </c>
      <c r="C44" s="123">
        <v>1268.6</v>
      </c>
      <c r="D44" s="43" t="s">
        <v>486</v>
      </c>
      <c r="E44" s="43" t="s">
        <v>487</v>
      </c>
      <c r="F44" s="43">
        <v>103</v>
      </c>
      <c r="G44" s="123">
        <v>1290.2</v>
      </c>
      <c r="H44" s="43" t="s">
        <v>488</v>
      </c>
      <c r="I44" s="43" t="s">
        <v>489</v>
      </c>
      <c r="J44" s="43">
        <v>104</v>
      </c>
      <c r="K44" s="123">
        <v>1229.2</v>
      </c>
      <c r="L44" s="43" t="s">
        <v>490</v>
      </c>
      <c r="M44" s="43" t="s">
        <v>491</v>
      </c>
      <c r="N44" s="73">
        <v>0.3461</v>
      </c>
      <c r="O44" s="70">
        <v>0.414931529089628</v>
      </c>
      <c r="P44" s="70">
        <v>0.730274084673059</v>
      </c>
      <c r="Q44" s="70">
        <v>0.771631281568919</v>
      </c>
      <c r="R44" s="1"/>
      <c r="Y44" s="38" t="s">
        <v>485</v>
      </c>
      <c r="Z44" s="32" t="str">
        <f t="shared" si="0"/>
        <v>1268,6 (1125; 1588.8)</v>
      </c>
      <c r="AA44" s="32" t="str">
        <f t="shared" si="3"/>
        <v>1290,2 (1135.5; 1478.8)</v>
      </c>
      <c r="AB44" s="32" t="str">
        <f t="shared" si="2"/>
        <v>1229,2 (997.59; 1482.3)</v>
      </c>
      <c r="AC44" s="70">
        <v>0.414931529089628</v>
      </c>
      <c r="AD44" s="70">
        <v>0.771631281568919</v>
      </c>
    </row>
    <row r="45" spans="1:30">
      <c r="A45" s="38" t="s">
        <v>492</v>
      </c>
      <c r="B45" s="47">
        <v>104</v>
      </c>
      <c r="C45" s="123">
        <v>2763.85</v>
      </c>
      <c r="D45" s="43" t="s">
        <v>493</v>
      </c>
      <c r="E45" s="43" t="s">
        <v>494</v>
      </c>
      <c r="F45" s="43">
        <v>103</v>
      </c>
      <c r="G45" s="123">
        <v>3063.96</v>
      </c>
      <c r="H45" s="43" t="s">
        <v>495</v>
      </c>
      <c r="I45" s="43" t="s">
        <v>496</v>
      </c>
      <c r="J45" s="43">
        <v>104</v>
      </c>
      <c r="K45" s="123">
        <v>3230.31</v>
      </c>
      <c r="L45" s="43" t="s">
        <v>497</v>
      </c>
      <c r="M45" s="43" t="s">
        <v>498</v>
      </c>
      <c r="N45" s="145" t="s">
        <v>243</v>
      </c>
      <c r="O45" s="71">
        <v>3.40688659456568e-7</v>
      </c>
      <c r="P45" s="71">
        <v>2.49990658867808e-6</v>
      </c>
      <c r="Q45" s="71">
        <v>2.30828395769228e-6</v>
      </c>
      <c r="R45" s="1"/>
      <c r="Y45" s="38" t="s">
        <v>492</v>
      </c>
      <c r="Z45" s="32" t="str">
        <f t="shared" si="0"/>
        <v>2763,85 (2359.26; 3241.6)</v>
      </c>
      <c r="AA45" s="32" t="str">
        <f t="shared" si="3"/>
        <v>3063,96 (2740.73; 3498.47)</v>
      </c>
      <c r="AB45" s="32" t="str">
        <f t="shared" si="2"/>
        <v>3230,31 (2834.42; 3669.75)</v>
      </c>
      <c r="AC45" s="71">
        <v>3.40688659456568e-7</v>
      </c>
      <c r="AD45" s="71">
        <v>2.30828395769228e-6</v>
      </c>
    </row>
    <row r="46" spans="1:30">
      <c r="A46" s="38" t="s">
        <v>499</v>
      </c>
      <c r="B46" s="47">
        <v>104</v>
      </c>
      <c r="C46" s="123">
        <v>220.97</v>
      </c>
      <c r="D46" s="43" t="s">
        <v>500</v>
      </c>
      <c r="E46" s="43" t="s">
        <v>501</v>
      </c>
      <c r="F46" s="43">
        <v>103</v>
      </c>
      <c r="G46" s="123">
        <v>238.72</v>
      </c>
      <c r="H46" s="43" t="s">
        <v>502</v>
      </c>
      <c r="I46" s="43" t="s">
        <v>503</v>
      </c>
      <c r="J46" s="43">
        <v>104</v>
      </c>
      <c r="K46" s="123">
        <v>252.88</v>
      </c>
      <c r="L46" s="43" t="s">
        <v>504</v>
      </c>
      <c r="M46" s="43" t="s">
        <v>505</v>
      </c>
      <c r="N46" s="145" t="s">
        <v>243</v>
      </c>
      <c r="O46" s="71">
        <v>1.3749436147547e-9</v>
      </c>
      <c r="P46" s="71">
        <v>1.08481512374134e-7</v>
      </c>
      <c r="Q46" s="71">
        <v>5.88130177547508e-8</v>
      </c>
      <c r="R46" s="1"/>
      <c r="Y46" s="38" t="s">
        <v>499</v>
      </c>
      <c r="Z46" s="32" t="str">
        <f t="shared" si="0"/>
        <v>220,97 (193.88; 249.32)</v>
      </c>
      <c r="AA46" s="32" t="str">
        <f t="shared" si="3"/>
        <v>238,72 (213.67; 257.99)</v>
      </c>
      <c r="AB46" s="32" t="str">
        <f t="shared" si="2"/>
        <v>252,88 (233.93; 283.61)</v>
      </c>
      <c r="AC46" s="71">
        <v>1.3749436147547e-9</v>
      </c>
      <c r="AD46" s="71">
        <v>5.88130177547508e-8</v>
      </c>
    </row>
    <row r="47" spans="1:30">
      <c r="A47" s="38" t="s">
        <v>506</v>
      </c>
      <c r="B47" s="47">
        <v>104</v>
      </c>
      <c r="C47" s="123">
        <v>10.36</v>
      </c>
      <c r="D47" s="43" t="s">
        <v>507</v>
      </c>
      <c r="E47" s="43" t="s">
        <v>508</v>
      </c>
      <c r="F47" s="43">
        <v>103</v>
      </c>
      <c r="G47" s="123">
        <v>10.34</v>
      </c>
      <c r="H47" s="43" t="s">
        <v>509</v>
      </c>
      <c r="I47" s="43" t="s">
        <v>510</v>
      </c>
      <c r="J47" s="43">
        <v>104</v>
      </c>
      <c r="K47" s="123">
        <v>10.44</v>
      </c>
      <c r="L47" s="43" t="s">
        <v>511</v>
      </c>
      <c r="M47" s="43" t="s">
        <v>512</v>
      </c>
      <c r="N47" s="66">
        <v>0.6414</v>
      </c>
      <c r="O47" s="70">
        <v>0.649610268769743</v>
      </c>
      <c r="P47" s="70">
        <v>0.892291546335803</v>
      </c>
      <c r="Q47" s="70">
        <v>0.928641142710603</v>
      </c>
      <c r="R47" s="1"/>
      <c r="Y47" s="38" t="s">
        <v>506</v>
      </c>
      <c r="Z47" s="32" t="str">
        <f t="shared" si="0"/>
        <v>10,36 (9.997; 10.79)</v>
      </c>
      <c r="AA47" s="32" t="str">
        <f t="shared" si="3"/>
        <v>10,34 (9.995; 10.84)</v>
      </c>
      <c r="AB47" s="32" t="str">
        <f t="shared" si="2"/>
        <v>10,44 (10.03; 10.85)</v>
      </c>
      <c r="AC47" s="70">
        <v>0.649610268769743</v>
      </c>
      <c r="AD47" s="70">
        <v>0.928641142710603</v>
      </c>
    </row>
    <row r="48" spans="1:30">
      <c r="A48" s="38" t="s">
        <v>513</v>
      </c>
      <c r="B48" s="47">
        <v>104</v>
      </c>
      <c r="C48" s="123">
        <v>1.27</v>
      </c>
      <c r="D48" s="43" t="s">
        <v>514</v>
      </c>
      <c r="E48" s="43" t="s">
        <v>515</v>
      </c>
      <c r="F48" s="43">
        <v>103</v>
      </c>
      <c r="G48" s="123">
        <v>1.47</v>
      </c>
      <c r="H48" s="43" t="s">
        <v>516</v>
      </c>
      <c r="I48" s="43" t="s">
        <v>517</v>
      </c>
      <c r="J48" s="43">
        <v>104</v>
      </c>
      <c r="K48" s="123">
        <v>1.61</v>
      </c>
      <c r="L48" s="43" t="s">
        <v>518</v>
      </c>
      <c r="M48" s="43" t="s">
        <v>519</v>
      </c>
      <c r="N48" s="145" t="s">
        <v>243</v>
      </c>
      <c r="O48" s="71">
        <v>0.000173085530154324</v>
      </c>
      <c r="P48" s="71">
        <v>0.0037508718760912</v>
      </c>
      <c r="Q48" s="71">
        <v>0.00322961068719157</v>
      </c>
      <c r="R48" s="1"/>
      <c r="Y48" s="38" t="s">
        <v>513</v>
      </c>
      <c r="Z48" s="32" t="str">
        <f t="shared" si="0"/>
        <v>1,27 (1.04; 1.55)</v>
      </c>
      <c r="AA48" s="32" t="str">
        <f t="shared" si="3"/>
        <v>1,47 (1.21; 1.84)</v>
      </c>
      <c r="AB48" s="32" t="str">
        <f t="shared" si="2"/>
        <v>1,61 (1.38; 2.12)</v>
      </c>
      <c r="AC48" s="71">
        <v>0.000173085530154324</v>
      </c>
      <c r="AD48" s="71">
        <v>0.00322961068719157</v>
      </c>
    </row>
    <row r="49" spans="1:30">
      <c r="A49" s="38" t="s">
        <v>520</v>
      </c>
      <c r="B49" s="47">
        <v>104</v>
      </c>
      <c r="C49" s="123">
        <v>3.06</v>
      </c>
      <c r="D49" s="43" t="s">
        <v>521</v>
      </c>
      <c r="E49" s="43" t="s">
        <v>522</v>
      </c>
      <c r="F49" s="43">
        <v>103</v>
      </c>
      <c r="G49" s="123">
        <v>3.08</v>
      </c>
      <c r="H49" s="43" t="s">
        <v>523</v>
      </c>
      <c r="I49" s="43" t="s">
        <v>524</v>
      </c>
      <c r="J49" s="43">
        <v>104</v>
      </c>
      <c r="K49" s="123">
        <v>3.22</v>
      </c>
      <c r="L49" s="43" t="s">
        <v>525</v>
      </c>
      <c r="M49" s="43" t="s">
        <v>526</v>
      </c>
      <c r="N49" s="145">
        <v>0.0075</v>
      </c>
      <c r="O49" s="71">
        <v>0.0132566980834616</v>
      </c>
      <c r="P49" s="71">
        <v>0.037437754955626</v>
      </c>
      <c r="Q49" s="71">
        <v>0.0392892153224916</v>
      </c>
      <c r="R49" s="1"/>
      <c r="Y49" s="38" t="s">
        <v>520</v>
      </c>
      <c r="Z49" s="32" t="str">
        <f t="shared" si="0"/>
        <v>3,06 (2.71; 3.37)</v>
      </c>
      <c r="AA49" s="32" t="str">
        <f t="shared" si="3"/>
        <v>3,08 (2.87; 3.32)</v>
      </c>
      <c r="AB49" s="32" t="str">
        <f t="shared" si="2"/>
        <v>3,22 (2.94; 3.6)</v>
      </c>
      <c r="AC49" s="71">
        <v>0.0132566980834616</v>
      </c>
      <c r="AD49" s="71">
        <v>0.0392892153224916</v>
      </c>
    </row>
    <row r="50" spans="1:30">
      <c r="A50" s="38" t="s">
        <v>527</v>
      </c>
      <c r="B50" s="47">
        <v>104</v>
      </c>
      <c r="C50" s="123">
        <v>770</v>
      </c>
      <c r="D50" s="43" t="s">
        <v>528</v>
      </c>
      <c r="E50" s="43" t="s">
        <v>529</v>
      </c>
      <c r="F50" s="43">
        <v>103</v>
      </c>
      <c r="G50" s="123">
        <v>829.53</v>
      </c>
      <c r="H50" s="43" t="s">
        <v>530</v>
      </c>
      <c r="I50" s="43" t="s">
        <v>531</v>
      </c>
      <c r="J50" s="43">
        <v>104</v>
      </c>
      <c r="K50" s="123">
        <v>796.91</v>
      </c>
      <c r="L50" s="43" t="s">
        <v>532</v>
      </c>
      <c r="M50" s="43" t="s">
        <v>533</v>
      </c>
      <c r="N50" s="73">
        <v>0.1137</v>
      </c>
      <c r="O50" s="70">
        <v>0.125609089550494</v>
      </c>
      <c r="P50" s="70">
        <v>0.217523819929303</v>
      </c>
      <c r="Q50" s="70">
        <v>0.193093474351343</v>
      </c>
      <c r="R50" s="1"/>
      <c r="Y50" s="38" t="s">
        <v>527</v>
      </c>
      <c r="Z50" s="32" t="str">
        <f t="shared" si="0"/>
        <v>770 (697.82; 865.65)</v>
      </c>
      <c r="AA50" s="32" t="str">
        <f t="shared" si="3"/>
        <v>829,53 (692.03; 949.11)</v>
      </c>
      <c r="AB50" s="32" t="str">
        <f t="shared" si="2"/>
        <v>796,91 (709.07; 931.63)</v>
      </c>
      <c r="AC50" s="70">
        <v>0.125609089550494</v>
      </c>
      <c r="AD50" s="70">
        <v>0.193093474351343</v>
      </c>
    </row>
    <row r="51" spans="1:30">
      <c r="A51" s="38" t="s">
        <v>534</v>
      </c>
      <c r="B51" s="47">
        <v>104</v>
      </c>
      <c r="C51" s="123">
        <v>1.09</v>
      </c>
      <c r="D51" s="43" t="s">
        <v>535</v>
      </c>
      <c r="E51" s="43" t="s">
        <v>536</v>
      </c>
      <c r="F51" s="43">
        <v>103</v>
      </c>
      <c r="G51" s="123">
        <v>1.1</v>
      </c>
      <c r="H51" s="43" t="s">
        <v>537</v>
      </c>
      <c r="I51" s="43" t="s">
        <v>538</v>
      </c>
      <c r="J51" s="43">
        <v>104</v>
      </c>
      <c r="K51" s="123">
        <v>1.09</v>
      </c>
      <c r="L51" s="43" t="s">
        <v>539</v>
      </c>
      <c r="M51" s="43" t="s">
        <v>540</v>
      </c>
      <c r="N51" s="73">
        <v>0.2493</v>
      </c>
      <c r="O51" s="70">
        <v>0.104451647575584</v>
      </c>
      <c r="P51" s="70">
        <v>0.168434279727343</v>
      </c>
      <c r="Q51" s="70">
        <v>0.20370034649249</v>
      </c>
      <c r="R51" s="1"/>
      <c r="Y51" s="38" t="s">
        <v>534</v>
      </c>
      <c r="Z51" s="32" t="str">
        <f t="shared" si="0"/>
        <v>1,09 (0.882; 1.3)</v>
      </c>
      <c r="AA51" s="32" t="str">
        <f t="shared" si="3"/>
        <v>1,1 (0.951; 1.29)</v>
      </c>
      <c r="AB51" s="32" t="str">
        <f t="shared" si="2"/>
        <v>1,09 (0.963; 1.37)</v>
      </c>
      <c r="AC51" s="70">
        <v>0.104451647575584</v>
      </c>
      <c r="AD51" s="70">
        <v>0.20370034649249</v>
      </c>
    </row>
    <row r="52" spans="1:30">
      <c r="A52" s="38" t="s">
        <v>541</v>
      </c>
      <c r="B52" s="47">
        <v>104</v>
      </c>
      <c r="C52" s="123">
        <v>1.65</v>
      </c>
      <c r="D52" s="43" t="s">
        <v>542</v>
      </c>
      <c r="E52" s="43" t="s">
        <v>543</v>
      </c>
      <c r="F52" s="43">
        <v>103</v>
      </c>
      <c r="G52" s="123">
        <v>1.69</v>
      </c>
      <c r="H52" s="43" t="s">
        <v>544</v>
      </c>
      <c r="I52" s="43" t="s">
        <v>545</v>
      </c>
      <c r="J52" s="43">
        <v>104</v>
      </c>
      <c r="K52" s="123">
        <v>1.71</v>
      </c>
      <c r="L52" s="43" t="s">
        <v>546</v>
      </c>
      <c r="M52" s="43" t="s">
        <v>547</v>
      </c>
      <c r="N52" s="73">
        <v>0.2715</v>
      </c>
      <c r="O52" s="70">
        <v>0.259333900468228</v>
      </c>
      <c r="P52" s="70">
        <v>0.345626113495957</v>
      </c>
      <c r="Q52" s="70">
        <v>0.371129603938365</v>
      </c>
      <c r="R52" s="1"/>
      <c r="Y52" s="38" t="s">
        <v>541</v>
      </c>
      <c r="Z52" s="32" t="str">
        <f t="shared" si="0"/>
        <v>1,65 (1.40; 1.94)</v>
      </c>
      <c r="AA52" s="32" t="str">
        <f t="shared" si="3"/>
        <v>1,69 (1.47; 2.05)</v>
      </c>
      <c r="AB52" s="32" t="str">
        <f t="shared" si="2"/>
        <v>1,71 (1.47; 2.02)</v>
      </c>
      <c r="AC52" s="70">
        <v>0.259333900468228</v>
      </c>
      <c r="AD52" s="70">
        <v>0.371129603938365</v>
      </c>
    </row>
    <row r="53" spans="1:30">
      <c r="A53" s="38" t="s">
        <v>548</v>
      </c>
      <c r="B53" s="47">
        <v>104</v>
      </c>
      <c r="C53" s="123">
        <v>15.46</v>
      </c>
      <c r="D53" s="43" t="s">
        <v>549</v>
      </c>
      <c r="E53" s="43" t="s">
        <v>550</v>
      </c>
      <c r="F53" s="43">
        <v>103</v>
      </c>
      <c r="G53" s="123">
        <v>15.49</v>
      </c>
      <c r="H53" s="43" t="s">
        <v>551</v>
      </c>
      <c r="I53" s="43" t="s">
        <v>552</v>
      </c>
      <c r="J53" s="43">
        <v>104</v>
      </c>
      <c r="K53" s="123">
        <v>15.75</v>
      </c>
      <c r="L53" s="43" t="s">
        <v>553</v>
      </c>
      <c r="M53" s="43" t="s">
        <v>554</v>
      </c>
      <c r="N53" s="73">
        <v>0.4447</v>
      </c>
      <c r="O53" s="70">
        <v>0.414931529089628</v>
      </c>
      <c r="P53" s="70">
        <v>0.698452622660898</v>
      </c>
      <c r="Q53" s="70">
        <v>0.771631281568919</v>
      </c>
      <c r="R53" s="1"/>
      <c r="Y53" s="38" t="s">
        <v>548</v>
      </c>
      <c r="Z53" s="32" t="str">
        <f t="shared" si="0"/>
        <v>15,46 (13.04; 18)</v>
      </c>
      <c r="AA53" s="32" t="str">
        <f t="shared" si="3"/>
        <v>15,49 (13.51; 19.53)</v>
      </c>
      <c r="AB53" s="32" t="str">
        <f t="shared" si="2"/>
        <v>15,75 (14; 18.76)</v>
      </c>
      <c r="AC53" s="70">
        <v>0.414931529089628</v>
      </c>
      <c r="AD53" s="70">
        <v>0.771631281568919</v>
      </c>
    </row>
    <row r="54" spans="1:30">
      <c r="A54" s="38" t="s">
        <v>555</v>
      </c>
      <c r="B54" s="47">
        <v>104</v>
      </c>
      <c r="C54" s="123">
        <v>4.64</v>
      </c>
      <c r="D54" s="43" t="s">
        <v>556</v>
      </c>
      <c r="E54" s="43" t="s">
        <v>557</v>
      </c>
      <c r="F54" s="43">
        <v>103</v>
      </c>
      <c r="G54" s="123">
        <v>4.9</v>
      </c>
      <c r="H54" s="43" t="s">
        <v>558</v>
      </c>
      <c r="I54" s="43" t="s">
        <v>559</v>
      </c>
      <c r="J54" s="43">
        <v>104</v>
      </c>
      <c r="K54" s="123">
        <v>4.91</v>
      </c>
      <c r="L54" s="43" t="s">
        <v>560</v>
      </c>
      <c r="M54" s="43" t="s">
        <v>561</v>
      </c>
      <c r="N54" s="145">
        <v>0.0111</v>
      </c>
      <c r="O54" s="70">
        <v>0.0877067290936349</v>
      </c>
      <c r="P54" s="70">
        <v>0.217523819929303</v>
      </c>
      <c r="Q54" s="70">
        <v>0.274845874753069</v>
      </c>
      <c r="R54" s="1"/>
      <c r="Y54" s="38" t="s">
        <v>555</v>
      </c>
      <c r="Z54" s="32" t="str">
        <f t="shared" si="0"/>
        <v>4,64 (4.16; 5.25)</v>
      </c>
      <c r="AA54" s="32" t="str">
        <f t="shared" si="3"/>
        <v>4,9 (4.47; 5.4)</v>
      </c>
      <c r="AB54" s="32" t="str">
        <f t="shared" si="2"/>
        <v>4,91 (4.52; 5.44)</v>
      </c>
      <c r="AC54" s="70">
        <v>0.0877067290936349</v>
      </c>
      <c r="AD54" s="70">
        <v>0.274845874753069</v>
      </c>
    </row>
    <row r="55" spans="1:30">
      <c r="A55" s="38" t="s">
        <v>562</v>
      </c>
      <c r="B55" s="47">
        <v>104</v>
      </c>
      <c r="C55" s="123">
        <v>1.47</v>
      </c>
      <c r="D55" s="43" t="s">
        <v>563</v>
      </c>
      <c r="E55" s="43" t="s">
        <v>564</v>
      </c>
      <c r="F55" s="43">
        <v>103</v>
      </c>
      <c r="G55" s="123">
        <v>1.41</v>
      </c>
      <c r="H55" s="43" t="s">
        <v>565</v>
      </c>
      <c r="I55" s="43" t="s">
        <v>566</v>
      </c>
      <c r="J55" s="43">
        <v>104</v>
      </c>
      <c r="K55" s="123">
        <v>1.38</v>
      </c>
      <c r="L55" s="43" t="s">
        <v>567</v>
      </c>
      <c r="M55" s="43" t="s">
        <v>568</v>
      </c>
      <c r="N55" s="73">
        <v>0.5638</v>
      </c>
      <c r="O55" s="70">
        <v>0.684026043481058</v>
      </c>
      <c r="P55" s="70">
        <v>0.949405244808492</v>
      </c>
      <c r="Q55" s="70">
        <v>0.981868610656371</v>
      </c>
      <c r="R55" s="1"/>
      <c r="Y55" s="38" t="s">
        <v>562</v>
      </c>
      <c r="Z55" s="32" t="str">
        <f t="shared" si="0"/>
        <v>1,47 (1.11; 1.80)</v>
      </c>
      <c r="AA55" s="32" t="str">
        <f t="shared" si="3"/>
        <v>1,41 (1.10; 1.95)</v>
      </c>
      <c r="AB55" s="32" t="str">
        <f t="shared" si="2"/>
        <v>1,38 (1.03; 1.73)</v>
      </c>
      <c r="AC55" s="70">
        <v>0.684026043481058</v>
      </c>
      <c r="AD55" s="70">
        <v>0.981868610656371</v>
      </c>
    </row>
    <row r="56" spans="1:30">
      <c r="A56" s="38" t="s">
        <v>569</v>
      </c>
      <c r="B56" s="47">
        <v>104</v>
      </c>
      <c r="C56" s="123">
        <v>337.08</v>
      </c>
      <c r="D56" s="43" t="s">
        <v>570</v>
      </c>
      <c r="E56" s="43" t="s">
        <v>571</v>
      </c>
      <c r="F56" s="43">
        <v>103</v>
      </c>
      <c r="G56" s="123">
        <v>341.72</v>
      </c>
      <c r="H56" s="43" t="s">
        <v>572</v>
      </c>
      <c r="I56" s="43" t="s">
        <v>573</v>
      </c>
      <c r="J56" s="43">
        <v>104</v>
      </c>
      <c r="K56" s="123">
        <v>360.34</v>
      </c>
      <c r="L56" s="43" t="s">
        <v>574</v>
      </c>
      <c r="M56" s="43" t="s">
        <v>575</v>
      </c>
      <c r="N56" s="145">
        <v>0.0045</v>
      </c>
      <c r="O56" s="71">
        <v>0.00669494117212583</v>
      </c>
      <c r="P56" s="71">
        <v>0.0200200645723078</v>
      </c>
      <c r="Q56" s="71">
        <v>0.0392892153224916</v>
      </c>
      <c r="R56" s="1"/>
      <c r="Y56" s="38" t="s">
        <v>569</v>
      </c>
      <c r="Z56" s="32" t="str">
        <f t="shared" si="0"/>
        <v>337,08 (303.42; 380.72)</v>
      </c>
      <c r="AA56" s="32" t="str">
        <f t="shared" si="3"/>
        <v>341,72 (304.82; 386.65)</v>
      </c>
      <c r="AB56" s="32" t="str">
        <f t="shared" si="2"/>
        <v>360,34 (321.24; 411.41)</v>
      </c>
      <c r="AC56" s="71">
        <v>0.00669494117212583</v>
      </c>
      <c r="AD56" s="71">
        <v>0.0392892153224916</v>
      </c>
    </row>
    <row r="57" spans="1:30">
      <c r="A57" s="38" t="s">
        <v>576</v>
      </c>
      <c r="B57" s="47">
        <v>104</v>
      </c>
      <c r="C57" s="123">
        <v>7.15</v>
      </c>
      <c r="D57" s="43" t="s">
        <v>577</v>
      </c>
      <c r="E57" s="43" t="s">
        <v>578</v>
      </c>
      <c r="F57" s="43">
        <v>103</v>
      </c>
      <c r="G57" s="123">
        <v>7.17</v>
      </c>
      <c r="H57" s="43" t="s">
        <v>579</v>
      </c>
      <c r="I57" s="43" t="s">
        <v>580</v>
      </c>
      <c r="J57" s="43">
        <v>104</v>
      </c>
      <c r="K57" s="123">
        <v>7.14</v>
      </c>
      <c r="L57" s="43" t="s">
        <v>581</v>
      </c>
      <c r="M57" s="43" t="s">
        <v>582</v>
      </c>
      <c r="N57" s="73">
        <v>0.339</v>
      </c>
      <c r="O57" s="70">
        <v>0.351210907968543</v>
      </c>
      <c r="P57" s="70">
        <v>0.258740470167578</v>
      </c>
      <c r="Q57" s="70">
        <v>0.305389491874147</v>
      </c>
      <c r="R57" s="1"/>
      <c r="Y57" s="38" t="s">
        <v>576</v>
      </c>
      <c r="Z57" s="32" t="str">
        <f t="shared" si="0"/>
        <v>7,15 (6.94; 7.38)</v>
      </c>
      <c r="AA57" s="32" t="str">
        <f t="shared" si="3"/>
        <v>7,17 (6.97; 7.48)</v>
      </c>
      <c r="AB57" s="32" t="str">
        <f t="shared" si="2"/>
        <v>7,14 (6.93; 7.34)</v>
      </c>
      <c r="AC57" s="70">
        <v>0.351210907968543</v>
      </c>
      <c r="AD57" s="70">
        <v>0.305389491874147</v>
      </c>
    </row>
    <row r="58" spans="1:30">
      <c r="A58" s="38" t="s">
        <v>583</v>
      </c>
      <c r="B58" s="47">
        <v>104</v>
      </c>
      <c r="C58" s="123">
        <v>139.94</v>
      </c>
      <c r="D58" s="43" t="s">
        <v>584</v>
      </c>
      <c r="E58" s="43" t="s">
        <v>585</v>
      </c>
      <c r="F58" s="43">
        <v>103</v>
      </c>
      <c r="G58" s="123" t="s">
        <v>586</v>
      </c>
      <c r="H58" s="43" t="s">
        <v>587</v>
      </c>
      <c r="I58" s="43" t="s">
        <v>588</v>
      </c>
      <c r="J58" s="43">
        <v>104</v>
      </c>
      <c r="K58" s="123" t="s">
        <v>589</v>
      </c>
      <c r="L58" s="43" t="s">
        <v>590</v>
      </c>
      <c r="M58" s="43" t="s">
        <v>591</v>
      </c>
      <c r="N58" s="145">
        <v>0</v>
      </c>
      <c r="O58" s="71">
        <v>2.52082857423621e-6</v>
      </c>
      <c r="P58" s="71">
        <v>2.62438855519389e-5</v>
      </c>
      <c r="Q58" s="71">
        <v>3.43615780661355e-5</v>
      </c>
      <c r="R58" s="1"/>
      <c r="Y58" s="38" t="s">
        <v>583</v>
      </c>
      <c r="Z58" s="32" t="str">
        <f t="shared" si="0"/>
        <v>139,94 (107.56; 170.13)</v>
      </c>
      <c r="AA58" s="32" t="str">
        <f t="shared" si="3"/>
        <v>169.03* (122.42; 216.92)</v>
      </c>
      <c r="AB58" s="32" t="str">
        <f t="shared" si="2"/>
        <v>180.76** (137.75; 222)</v>
      </c>
      <c r="AC58" s="71">
        <v>2.52082857423621e-6</v>
      </c>
      <c r="AD58" s="71">
        <v>3.43615780661355e-5</v>
      </c>
    </row>
    <row r="59" spans="1:30">
      <c r="A59" s="51" t="s">
        <v>592</v>
      </c>
      <c r="B59" s="130"/>
      <c r="C59" s="131"/>
      <c r="D59" s="130"/>
      <c r="E59" s="130"/>
      <c r="F59" s="130"/>
      <c r="G59" s="131"/>
      <c r="H59" s="130"/>
      <c r="I59" s="130"/>
      <c r="J59" s="130"/>
      <c r="K59" s="131"/>
      <c r="L59" s="130"/>
      <c r="M59" s="130"/>
      <c r="N59" s="73"/>
      <c r="O59" s="1"/>
      <c r="P59" s="1"/>
      <c r="Q59" s="1"/>
      <c r="R59" s="1"/>
      <c r="Y59" s="51" t="s">
        <v>592</v>
      </c>
      <c r="Z59" s="32" t="str">
        <f t="shared" si="0"/>
        <v> ()</v>
      </c>
      <c r="AA59" s="32" t="str">
        <f t="shared" si="3"/>
        <v> ()</v>
      </c>
      <c r="AB59" s="32" t="str">
        <f t="shared" si="2"/>
        <v> ()</v>
      </c>
      <c r="AC59" s="1"/>
      <c r="AD59" s="1"/>
    </row>
    <row r="60" spans="1:30">
      <c r="A60" s="132" t="s">
        <v>593</v>
      </c>
      <c r="B60" s="47">
        <v>101</v>
      </c>
      <c r="C60" s="128">
        <v>0.062</v>
      </c>
      <c r="D60" s="43" t="s">
        <v>594</v>
      </c>
      <c r="E60" s="43" t="s">
        <v>595</v>
      </c>
      <c r="F60" s="43">
        <v>99</v>
      </c>
      <c r="G60" s="123">
        <v>0.093</v>
      </c>
      <c r="H60" s="43" t="s">
        <v>596</v>
      </c>
      <c r="I60" s="43" t="s">
        <v>597</v>
      </c>
      <c r="J60" s="43">
        <v>98</v>
      </c>
      <c r="K60" s="128">
        <v>0.11</v>
      </c>
      <c r="L60" s="43" t="s">
        <v>598</v>
      </c>
      <c r="M60" s="43" t="s">
        <v>599</v>
      </c>
      <c r="N60" s="73">
        <v>0.4908</v>
      </c>
      <c r="O60" s="70">
        <v>0.511013575950885</v>
      </c>
      <c r="P60" s="70">
        <v>0.778626986534716</v>
      </c>
      <c r="Q60" s="70">
        <v>0.887752257360528</v>
      </c>
      <c r="R60" s="1"/>
      <c r="Y60" s="132" t="s">
        <v>593</v>
      </c>
      <c r="Z60" s="32" t="str">
        <f t="shared" si="0"/>
        <v>0,062 (0.017; 0.18)</v>
      </c>
      <c r="AA60" s="32" t="str">
        <f t="shared" si="3"/>
        <v>0,093 (0.03; 0.16)</v>
      </c>
      <c r="AB60" s="32" t="str">
        <f t="shared" si="2"/>
        <v>0,11 (0.032; 0.15)</v>
      </c>
      <c r="AC60" s="70">
        <v>0.511013575950885</v>
      </c>
      <c r="AD60" s="70">
        <v>0.887752257360528</v>
      </c>
    </row>
    <row r="61" spans="1:30">
      <c r="A61" s="132" t="s">
        <v>600</v>
      </c>
      <c r="B61" s="47">
        <v>101</v>
      </c>
      <c r="C61" s="128">
        <v>0.19</v>
      </c>
      <c r="D61" s="43" t="s">
        <v>601</v>
      </c>
      <c r="E61" s="43" t="s">
        <v>602</v>
      </c>
      <c r="F61" s="43">
        <v>99</v>
      </c>
      <c r="G61" s="123">
        <v>0.25</v>
      </c>
      <c r="H61" s="43" t="s">
        <v>603</v>
      </c>
      <c r="I61" s="43" t="s">
        <v>604</v>
      </c>
      <c r="J61" s="43">
        <v>98</v>
      </c>
      <c r="K61" s="128">
        <v>0.21</v>
      </c>
      <c r="L61" s="43" t="s">
        <v>605</v>
      </c>
      <c r="M61" s="43" t="s">
        <v>606</v>
      </c>
      <c r="N61" s="73">
        <v>0.7441</v>
      </c>
      <c r="O61" s="70">
        <v>0.668489034213166</v>
      </c>
      <c r="P61" s="70">
        <v>0.778626986534716</v>
      </c>
      <c r="Q61" s="70">
        <v>0.880826432917091</v>
      </c>
      <c r="R61" s="1"/>
      <c r="Y61" s="132" t="s">
        <v>600</v>
      </c>
      <c r="Z61" s="32" t="str">
        <f t="shared" si="0"/>
        <v>0,19 (0.13; 0.39)</v>
      </c>
      <c r="AA61" s="32" t="str">
        <f t="shared" si="3"/>
        <v>0,25 (0.11; 0.37)</v>
      </c>
      <c r="AB61" s="32" t="str">
        <f t="shared" si="2"/>
        <v>0,21 (0.13; 0.37)</v>
      </c>
      <c r="AC61" s="70">
        <v>0.668489034213166</v>
      </c>
      <c r="AD61" s="70">
        <v>0.880826432917091</v>
      </c>
    </row>
    <row r="62" spans="1:30">
      <c r="A62" s="133" t="s">
        <v>607</v>
      </c>
      <c r="B62" s="47">
        <v>101</v>
      </c>
      <c r="C62" s="128">
        <v>0.079</v>
      </c>
      <c r="D62" s="43" t="s">
        <v>608</v>
      </c>
      <c r="E62" s="43" t="s">
        <v>609</v>
      </c>
      <c r="F62" s="43">
        <v>99</v>
      </c>
      <c r="G62" s="123">
        <v>0.066</v>
      </c>
      <c r="H62" s="43" t="s">
        <v>610</v>
      </c>
      <c r="I62" s="43" t="s">
        <v>611</v>
      </c>
      <c r="J62" s="43">
        <v>98</v>
      </c>
      <c r="K62" s="128" t="s">
        <v>612</v>
      </c>
      <c r="L62" s="43" t="s">
        <v>613</v>
      </c>
      <c r="M62" s="43" t="s">
        <v>614</v>
      </c>
      <c r="N62" s="145">
        <v>0.0102</v>
      </c>
      <c r="O62" s="71">
        <v>0.0386876907882671</v>
      </c>
      <c r="P62" s="70">
        <v>0.203932061289555</v>
      </c>
      <c r="Q62" s="71">
        <v>0.093544250921362</v>
      </c>
      <c r="R62" s="1"/>
      <c r="Y62" s="133" t="s">
        <v>607</v>
      </c>
      <c r="Z62" s="32" t="str">
        <f t="shared" si="0"/>
        <v>0,079 (0.028; 0.24)</v>
      </c>
      <c r="AA62" s="32" t="str">
        <f t="shared" si="3"/>
        <v>0,066 (0.015; 0.17)</v>
      </c>
      <c r="AB62" s="32" t="str">
        <f t="shared" si="2"/>
        <v>0.039** (0.014; 0.13)</v>
      </c>
      <c r="AC62" s="71">
        <v>0.0386876907882671</v>
      </c>
      <c r="AD62" s="71">
        <v>0.093544250921362</v>
      </c>
    </row>
    <row r="63" spans="1:30">
      <c r="A63" s="133" t="s">
        <v>615</v>
      </c>
      <c r="B63" s="47">
        <v>101</v>
      </c>
      <c r="C63" s="128">
        <v>0.085</v>
      </c>
      <c r="D63" s="43" t="s">
        <v>616</v>
      </c>
      <c r="E63" s="43" t="s">
        <v>617</v>
      </c>
      <c r="F63" s="43">
        <v>99</v>
      </c>
      <c r="G63" s="123">
        <v>0.085</v>
      </c>
      <c r="H63" s="43" t="s">
        <v>618</v>
      </c>
      <c r="I63" s="43" t="s">
        <v>619</v>
      </c>
      <c r="J63" s="43">
        <v>98</v>
      </c>
      <c r="K63" s="128">
        <v>0.12</v>
      </c>
      <c r="L63" s="43" t="s">
        <v>620</v>
      </c>
      <c r="M63" s="43" t="s">
        <v>621</v>
      </c>
      <c r="N63" s="73">
        <v>0.1693</v>
      </c>
      <c r="O63" s="70">
        <v>0.215632034016956</v>
      </c>
      <c r="P63" s="70">
        <v>0.258740470167578</v>
      </c>
      <c r="Q63" s="70">
        <v>0.188383130589208</v>
      </c>
      <c r="R63" s="1"/>
      <c r="Y63" s="133" t="s">
        <v>615</v>
      </c>
      <c r="Z63" s="32" t="str">
        <f t="shared" si="0"/>
        <v>0,085 (0.034; 0.21)</v>
      </c>
      <c r="AA63" s="32" t="str">
        <f t="shared" si="3"/>
        <v>0,085 (0.033; 0.19)</v>
      </c>
      <c r="AB63" s="32" t="str">
        <f t="shared" si="2"/>
        <v>0,12 (0.039; 0.25)</v>
      </c>
      <c r="AC63" s="70">
        <v>0.215632034016956</v>
      </c>
      <c r="AD63" s="70">
        <v>0.188383130589208</v>
      </c>
    </row>
    <row r="64" ht="13.75" spans="1:30">
      <c r="A64" s="44" t="s">
        <v>622</v>
      </c>
      <c r="B64" s="134">
        <v>101</v>
      </c>
      <c r="C64" s="135">
        <v>0.067</v>
      </c>
      <c r="D64" s="54" t="s">
        <v>623</v>
      </c>
      <c r="E64" s="54" t="s">
        <v>624</v>
      </c>
      <c r="F64" s="54">
        <v>99</v>
      </c>
      <c r="G64" s="136">
        <v>0.11</v>
      </c>
      <c r="H64" s="54" t="s">
        <v>625</v>
      </c>
      <c r="I64" s="54" t="s">
        <v>626</v>
      </c>
      <c r="J64" s="54">
        <v>98</v>
      </c>
      <c r="K64" s="135">
        <v>0.09</v>
      </c>
      <c r="L64" s="54" t="s">
        <v>627</v>
      </c>
      <c r="M64" s="54" t="s">
        <v>628</v>
      </c>
      <c r="N64" s="54">
        <v>0.2959</v>
      </c>
      <c r="O64" s="74">
        <v>0.307502952309277</v>
      </c>
      <c r="P64" s="74">
        <v>0.467508860689928</v>
      </c>
      <c r="Q64" s="74">
        <v>0.457461519531433</v>
      </c>
      <c r="Y64" s="44" t="s">
        <v>622</v>
      </c>
      <c r="Z64" s="32" t="str">
        <f t="shared" si="0"/>
        <v>0,067 (0.023; 0.15)</v>
      </c>
      <c r="AA64" s="32" t="str">
        <f t="shared" si="3"/>
        <v>0,11 (0.028; 0.19)</v>
      </c>
      <c r="AB64" s="32" t="str">
        <f t="shared" si="2"/>
        <v>0,09 (0.035; 0.17)</v>
      </c>
      <c r="AC64" s="54">
        <v>0.307502952309277</v>
      </c>
      <c r="AD64" s="54">
        <v>0.457461519531433</v>
      </c>
    </row>
    <row r="66" ht="14.5" spans="1:17">
      <c r="A66" t="s">
        <v>629</v>
      </c>
      <c r="B66" t="s">
        <v>630</v>
      </c>
      <c r="C66" s="150" t="s">
        <v>630</v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</row>
    <row r="67" ht="14.5" spans="1:17">
      <c r="A67" t="s">
        <v>631</v>
      </c>
      <c r="B67" t="s">
        <v>632</v>
      </c>
      <c r="C67" s="151" t="s">
        <v>632</v>
      </c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</row>
    <row r="68" ht="14.5" spans="1:17">
      <c r="A68" t="s">
        <v>633</v>
      </c>
      <c r="B68" t="s">
        <v>634</v>
      </c>
      <c r="C68" s="151" t="s">
        <v>634</v>
      </c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</row>
  </sheetData>
  <mergeCells count="10">
    <mergeCell ref="B1:E1"/>
    <mergeCell ref="G1:I1"/>
    <mergeCell ref="J1:L1"/>
    <mergeCell ref="C66:Q66"/>
    <mergeCell ref="C67:Q67"/>
    <mergeCell ref="C68:Q68"/>
    <mergeCell ref="A1:A2"/>
    <mergeCell ref="Y1:Y2"/>
    <mergeCell ref="AC1:AC2"/>
    <mergeCell ref="AD1:A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4"/>
  <sheetViews>
    <sheetView zoomScale="112" zoomScaleNormal="112" workbookViewId="0">
      <selection activeCell="B2" sqref="B$1:F$1048576"/>
    </sheetView>
  </sheetViews>
  <sheetFormatPr defaultColWidth="11" defaultRowHeight="14"/>
  <cols>
    <col min="1" max="1" width="26.0909090909091" style="79" customWidth="1"/>
    <col min="2" max="2" width="4.27272727272727" style="79" customWidth="1"/>
    <col min="3" max="3" width="5.27272727272727" style="79" hidden="1" customWidth="1"/>
    <col min="4" max="5" width="15.6363636363636" style="79" hidden="1" customWidth="1"/>
    <col min="6" max="6" width="8.45454545454546" style="79" customWidth="1"/>
    <col min="7" max="7" width="17.3636363636364" style="79" customWidth="1"/>
    <col min="8" max="8" width="17" style="79" hidden="1" customWidth="1"/>
    <col min="9" max="9" width="4.27272727272727" style="79" hidden="1" customWidth="1"/>
    <col min="10" max="10" width="5.27272727272727" style="79" hidden="1" customWidth="1"/>
    <col min="11" max="12" width="15.6363636363636" style="79" hidden="1" customWidth="1"/>
    <col min="13" max="13" width="7.90909090909091" style="79" customWidth="1"/>
    <col min="14" max="14" width="19" style="79" customWidth="1"/>
    <col min="15" max="15" width="16.7272727272727" style="79" hidden="1" customWidth="1"/>
    <col min="16" max="16" width="10.9090909090909" style="79" customWidth="1"/>
    <col min="17" max="19" width="11.1818181818182" style="79" customWidth="1"/>
    <col min="20" max="20" width="20.0909090909091" style="79" customWidth="1"/>
    <col min="21" max="23" width="10.9090909090909" style="79"/>
    <col min="24" max="24" width="26.0909090909091" style="79" customWidth="1"/>
    <col min="25" max="25" width="20.7272727272727" style="79" customWidth="1"/>
    <col min="26" max="26" width="20.5454545454545" style="79" customWidth="1"/>
    <col min="27" max="28" width="11.1818181818182" style="79" customWidth="1"/>
    <col min="29" max="16384" width="10.9090909090909" style="79"/>
  </cols>
  <sheetData>
    <row r="1" ht="28" spans="1:28">
      <c r="A1" s="10" t="s">
        <v>225</v>
      </c>
      <c r="B1" s="11" t="s">
        <v>635</v>
      </c>
      <c r="C1" s="11"/>
      <c r="D1" s="11"/>
      <c r="E1" s="11"/>
      <c r="F1" s="11"/>
      <c r="G1" s="11"/>
      <c r="H1" s="11"/>
      <c r="I1" s="11" t="s">
        <v>636</v>
      </c>
      <c r="J1" s="11"/>
      <c r="K1" s="11"/>
      <c r="L1" s="11"/>
      <c r="M1" s="11"/>
      <c r="N1" s="11"/>
      <c r="O1" s="11"/>
      <c r="P1" s="94" t="s">
        <v>637</v>
      </c>
      <c r="Q1" s="11" t="s">
        <v>638</v>
      </c>
      <c r="R1" s="11" t="s">
        <v>639</v>
      </c>
      <c r="S1" s="11"/>
      <c r="X1" s="10" t="s">
        <v>225</v>
      </c>
      <c r="Y1" s="11" t="s">
        <v>635</v>
      </c>
      <c r="Z1" s="11" t="s">
        <v>636</v>
      </c>
      <c r="AA1" s="11" t="s">
        <v>640</v>
      </c>
      <c r="AB1" s="11" t="s">
        <v>641</v>
      </c>
    </row>
    <row r="2" ht="28" spans="1:28">
      <c r="A2" s="12"/>
      <c r="B2" s="13" t="s">
        <v>101</v>
      </c>
      <c r="C2" s="13" t="s">
        <v>102</v>
      </c>
      <c r="D2" s="13" t="s">
        <v>642</v>
      </c>
      <c r="E2" s="13" t="s">
        <v>643</v>
      </c>
      <c r="F2" s="13" t="s">
        <v>0</v>
      </c>
      <c r="G2" s="13" t="s">
        <v>1</v>
      </c>
      <c r="H2" s="13" t="s">
        <v>105</v>
      </c>
      <c r="I2" s="13" t="s">
        <v>101</v>
      </c>
      <c r="J2" s="13" t="s">
        <v>102</v>
      </c>
      <c r="K2" s="13" t="s">
        <v>642</v>
      </c>
      <c r="L2" s="13" t="s">
        <v>643</v>
      </c>
      <c r="M2" s="13" t="s">
        <v>0</v>
      </c>
      <c r="N2" s="13" t="s">
        <v>1</v>
      </c>
      <c r="O2" s="13" t="s">
        <v>105</v>
      </c>
      <c r="P2" s="19" t="s">
        <v>234</v>
      </c>
      <c r="Q2" s="13"/>
      <c r="R2" s="13"/>
      <c r="S2" s="13"/>
      <c r="X2" s="12"/>
      <c r="Y2" s="13" t="s">
        <v>235</v>
      </c>
      <c r="Z2" s="13" t="s">
        <v>235</v>
      </c>
      <c r="AA2" s="108"/>
      <c r="AB2" s="108"/>
    </row>
    <row r="3" ht="28" spans="1:28">
      <c r="A3" s="2" t="s">
        <v>236</v>
      </c>
      <c r="B3" s="80">
        <v>160</v>
      </c>
      <c r="C3" s="80">
        <v>623</v>
      </c>
      <c r="D3" s="80">
        <v>217</v>
      </c>
      <c r="E3" s="80" t="s">
        <v>644</v>
      </c>
      <c r="F3" s="81">
        <v>669</v>
      </c>
      <c r="G3" s="80" t="s">
        <v>645</v>
      </c>
      <c r="H3" s="82" t="s">
        <v>644</v>
      </c>
      <c r="I3" s="80">
        <v>151</v>
      </c>
      <c r="J3" s="80">
        <v>1815</v>
      </c>
      <c r="K3" s="80">
        <v>887</v>
      </c>
      <c r="L3" s="80" t="s">
        <v>646</v>
      </c>
      <c r="M3" s="81">
        <v>1557</v>
      </c>
      <c r="N3" s="80" t="s">
        <v>647</v>
      </c>
      <c r="O3" s="82" t="s">
        <v>646</v>
      </c>
      <c r="P3" s="95" t="s">
        <v>243</v>
      </c>
      <c r="Q3" s="95" t="s">
        <v>243</v>
      </c>
      <c r="R3" s="95" t="s">
        <v>243</v>
      </c>
      <c r="S3" s="99"/>
      <c r="X3" s="2" t="s">
        <v>236</v>
      </c>
      <c r="Y3" s="81" t="str">
        <f>CONCATENATE(F3," (",G3,")")</f>
        <v>669 (460; 794)</v>
      </c>
      <c r="Z3" s="81" t="str">
        <f>CONCATENATE(M3," (",N3,")")</f>
        <v>1557 (1230; 2052)</v>
      </c>
      <c r="AA3" s="95" t="s">
        <v>243</v>
      </c>
      <c r="AB3" s="95" t="s">
        <v>243</v>
      </c>
    </row>
    <row r="4" ht="13" hidden="1" customHeight="1" spans="1:28">
      <c r="A4" s="83" t="s">
        <v>116</v>
      </c>
      <c r="B4" s="84"/>
      <c r="C4" s="85"/>
      <c r="D4" s="85"/>
      <c r="E4" s="85"/>
      <c r="F4" s="81"/>
      <c r="G4" s="86"/>
      <c r="H4" s="86"/>
      <c r="I4" s="86"/>
      <c r="J4" s="85"/>
      <c r="K4" s="85"/>
      <c r="L4" s="85"/>
      <c r="M4" s="81"/>
      <c r="N4" s="86"/>
      <c r="O4" s="86"/>
      <c r="P4" s="86"/>
      <c r="Q4" s="86"/>
      <c r="R4" s="86"/>
      <c r="S4" s="86"/>
      <c r="X4" s="83" t="s">
        <v>116</v>
      </c>
      <c r="Y4" s="81" t="str">
        <f t="shared" ref="Y4:Y67" si="0">CONCATENATE(F4," (",G4,")")</f>
        <v> ()</v>
      </c>
      <c r="Z4" s="81" t="str">
        <f t="shared" ref="Z4:Z67" si="1">CONCATENATE(M4," (",N4,")")</f>
        <v> ()</v>
      </c>
      <c r="AA4" s="86"/>
      <c r="AB4" s="86"/>
    </row>
    <row r="5" ht="13" hidden="1" customHeight="1" spans="1:28">
      <c r="A5" s="4" t="s">
        <v>117</v>
      </c>
      <c r="B5" s="86"/>
      <c r="C5" s="86"/>
      <c r="D5" s="86"/>
      <c r="E5" s="86"/>
      <c r="F5" s="81"/>
      <c r="G5" s="86"/>
      <c r="H5" s="86"/>
      <c r="I5" s="86"/>
      <c r="J5" s="86"/>
      <c r="K5" s="86"/>
      <c r="L5" s="86"/>
      <c r="M5" s="81"/>
      <c r="N5" s="86"/>
      <c r="O5" s="86"/>
      <c r="P5" s="86"/>
      <c r="Q5" s="86"/>
      <c r="R5" s="86"/>
      <c r="S5" s="86"/>
      <c r="X5" s="4" t="s">
        <v>117</v>
      </c>
      <c r="Y5" s="81" t="str">
        <f t="shared" si="0"/>
        <v> ()</v>
      </c>
      <c r="Z5" s="81" t="str">
        <f t="shared" si="1"/>
        <v> ()</v>
      </c>
      <c r="AA5" s="86"/>
      <c r="AB5" s="86"/>
    </row>
    <row r="6" ht="13" hidden="1" customHeight="1" spans="1:28">
      <c r="A6" s="4" t="s">
        <v>123</v>
      </c>
      <c r="B6" s="86"/>
      <c r="C6" s="86"/>
      <c r="D6" s="86"/>
      <c r="E6" s="86"/>
      <c r="F6" s="81"/>
      <c r="G6" s="86"/>
      <c r="H6" s="86"/>
      <c r="I6" s="86"/>
      <c r="J6" s="86"/>
      <c r="K6" s="86"/>
      <c r="L6" s="86"/>
      <c r="M6" s="81"/>
      <c r="N6" s="86"/>
      <c r="O6" s="86"/>
      <c r="P6" s="86"/>
      <c r="Q6" s="86"/>
      <c r="R6" s="86"/>
      <c r="S6" s="86"/>
      <c r="X6" s="4" t="s">
        <v>123</v>
      </c>
      <c r="Y6" s="81" t="str">
        <f t="shared" si="0"/>
        <v> ()</v>
      </c>
      <c r="Z6" s="81" t="str">
        <f t="shared" si="1"/>
        <v> ()</v>
      </c>
      <c r="AA6" s="86"/>
      <c r="AB6" s="86"/>
    </row>
    <row r="7" spans="1:28">
      <c r="A7" s="2" t="s">
        <v>648</v>
      </c>
      <c r="B7" s="86">
        <v>160</v>
      </c>
      <c r="C7" s="86">
        <v>38.9</v>
      </c>
      <c r="D7" s="86">
        <v>10.7</v>
      </c>
      <c r="E7" s="86" t="s">
        <v>649</v>
      </c>
      <c r="F7" s="81">
        <v>40</v>
      </c>
      <c r="G7" s="86" t="s">
        <v>650</v>
      </c>
      <c r="H7" s="86" t="s">
        <v>649</v>
      </c>
      <c r="I7" s="86">
        <v>151</v>
      </c>
      <c r="J7" s="86">
        <v>42</v>
      </c>
      <c r="K7" s="86">
        <v>11.1</v>
      </c>
      <c r="L7" s="86" t="s">
        <v>651</v>
      </c>
      <c r="M7" s="81">
        <v>43</v>
      </c>
      <c r="N7" s="86" t="s">
        <v>652</v>
      </c>
      <c r="O7" s="86" t="s">
        <v>651</v>
      </c>
      <c r="P7" s="96">
        <v>0.0135</v>
      </c>
      <c r="Q7" s="100">
        <v>0.0480607614956682</v>
      </c>
      <c r="R7" s="100">
        <v>0.0766474856832004</v>
      </c>
      <c r="S7" s="96"/>
      <c r="X7" s="2" t="s">
        <v>648</v>
      </c>
      <c r="Y7" s="81" t="str">
        <f t="shared" si="0"/>
        <v>40 (29; 48)</v>
      </c>
      <c r="Z7" s="81" t="str">
        <f t="shared" si="1"/>
        <v>43 (33; 51)</v>
      </c>
      <c r="AA7" s="100">
        <v>0.0480607614956682</v>
      </c>
      <c r="AB7" s="100">
        <v>0.0766474856832004</v>
      </c>
    </row>
    <row r="8" ht="13" hidden="1" customHeight="1" spans="1:28">
      <c r="A8" s="87" t="s">
        <v>250</v>
      </c>
      <c r="B8" s="88"/>
      <c r="C8" s="88"/>
      <c r="D8" s="88"/>
      <c r="E8" s="88"/>
      <c r="F8" s="81"/>
      <c r="G8" s="86"/>
      <c r="H8" s="86"/>
      <c r="I8" s="86"/>
      <c r="J8" s="88"/>
      <c r="K8" s="88"/>
      <c r="L8" s="88"/>
      <c r="M8" s="81"/>
      <c r="N8" s="86"/>
      <c r="O8" s="86"/>
      <c r="P8" s="96"/>
      <c r="Q8" s="86"/>
      <c r="R8" s="86"/>
      <c r="S8" s="86"/>
      <c r="X8" s="87" t="s">
        <v>250</v>
      </c>
      <c r="Y8" s="81" t="str">
        <f t="shared" si="0"/>
        <v> ()</v>
      </c>
      <c r="Z8" s="81" t="str">
        <f t="shared" si="1"/>
        <v> ()</v>
      </c>
      <c r="AA8" s="86"/>
      <c r="AB8" s="86"/>
    </row>
    <row r="9" ht="13" hidden="1" customHeight="1" spans="1:28">
      <c r="A9" s="89" t="s">
        <v>128</v>
      </c>
      <c r="B9" s="86"/>
      <c r="C9" s="86"/>
      <c r="D9" s="86"/>
      <c r="E9" s="86"/>
      <c r="F9" s="81"/>
      <c r="G9" s="86"/>
      <c r="H9" s="86"/>
      <c r="I9" s="86"/>
      <c r="J9" s="86"/>
      <c r="K9" s="86"/>
      <c r="L9" s="86"/>
      <c r="M9" s="81"/>
      <c r="N9" s="86"/>
      <c r="O9" s="86"/>
      <c r="P9" s="96"/>
      <c r="Q9" s="86"/>
      <c r="R9" s="86"/>
      <c r="S9" s="86"/>
      <c r="X9" s="89" t="s">
        <v>128</v>
      </c>
      <c r="Y9" s="81" t="str">
        <f t="shared" si="0"/>
        <v> ()</v>
      </c>
      <c r="Z9" s="81" t="str">
        <f t="shared" si="1"/>
        <v> ()</v>
      </c>
      <c r="AA9" s="86"/>
      <c r="AB9" s="86"/>
    </row>
    <row r="10" ht="13.5" hidden="1" customHeight="1" spans="1:28">
      <c r="A10" s="9" t="s">
        <v>134</v>
      </c>
      <c r="B10" s="90"/>
      <c r="C10" s="90"/>
      <c r="D10" s="90"/>
      <c r="E10" s="90"/>
      <c r="F10" s="91"/>
      <c r="G10" s="90"/>
      <c r="H10" s="90"/>
      <c r="I10" s="90"/>
      <c r="J10" s="90"/>
      <c r="K10" s="90"/>
      <c r="L10" s="90"/>
      <c r="M10" s="91"/>
      <c r="N10" s="90"/>
      <c r="O10" s="90"/>
      <c r="P10" s="96"/>
      <c r="Q10" s="86"/>
      <c r="R10" s="86"/>
      <c r="S10" s="86"/>
      <c r="X10" s="9" t="s">
        <v>134</v>
      </c>
      <c r="Y10" s="81" t="str">
        <f t="shared" si="0"/>
        <v> ()</v>
      </c>
      <c r="Z10" s="81" t="str">
        <f t="shared" si="1"/>
        <v> ()</v>
      </c>
      <c r="AA10" s="86"/>
      <c r="AB10" s="86"/>
    </row>
    <row r="11" ht="28" spans="1:28">
      <c r="A11" s="2" t="s">
        <v>251</v>
      </c>
      <c r="B11" s="80">
        <v>160</v>
      </c>
      <c r="C11" s="80">
        <v>0.148</v>
      </c>
      <c r="D11" s="80">
        <v>0.441</v>
      </c>
      <c r="E11" s="80" t="s">
        <v>653</v>
      </c>
      <c r="F11" s="82">
        <v>0.217</v>
      </c>
      <c r="G11" s="80" t="s">
        <v>654</v>
      </c>
      <c r="H11" s="82" t="s">
        <v>653</v>
      </c>
      <c r="I11" s="80">
        <v>151</v>
      </c>
      <c r="J11" s="80">
        <v>-0.0961</v>
      </c>
      <c r="K11" s="80">
        <v>0.451</v>
      </c>
      <c r="L11" s="80" t="s">
        <v>655</v>
      </c>
      <c r="M11" s="82">
        <v>-0.128</v>
      </c>
      <c r="N11" s="80" t="s">
        <v>656</v>
      </c>
      <c r="O11" s="82" t="s">
        <v>655</v>
      </c>
      <c r="P11" s="97" t="s">
        <v>243</v>
      </c>
      <c r="Q11" s="95" t="s">
        <v>243</v>
      </c>
      <c r="R11" s="95" t="s">
        <v>243</v>
      </c>
      <c r="S11" s="101"/>
      <c r="X11" s="2" t="s">
        <v>251</v>
      </c>
      <c r="Y11" s="81" t="str">
        <f t="shared" si="0"/>
        <v>0,217 (-0.183; 0.43)</v>
      </c>
      <c r="Z11" s="81" t="str">
        <f t="shared" si="1"/>
        <v>-0,128 (-0.394; 0.242)</v>
      </c>
      <c r="AA11" s="95" t="s">
        <v>243</v>
      </c>
      <c r="AB11" s="95" t="s">
        <v>243</v>
      </c>
    </row>
    <row r="12" ht="25" hidden="1" customHeight="1" spans="1:28">
      <c r="A12" s="2" t="s">
        <v>657</v>
      </c>
      <c r="B12" s="80"/>
      <c r="C12" s="80"/>
      <c r="D12" s="80"/>
      <c r="E12" s="80"/>
      <c r="F12" s="81"/>
      <c r="G12" s="86"/>
      <c r="H12" s="86"/>
      <c r="I12" s="86"/>
      <c r="J12" s="80"/>
      <c r="K12" s="80"/>
      <c r="L12" s="80"/>
      <c r="M12" s="81"/>
      <c r="N12" s="86"/>
      <c r="O12" s="86"/>
      <c r="P12" s="96"/>
      <c r="Q12" s="15"/>
      <c r="R12" s="15"/>
      <c r="S12" s="15"/>
      <c r="X12" s="2" t="s">
        <v>657</v>
      </c>
      <c r="Y12" s="81" t="str">
        <f t="shared" si="0"/>
        <v> ()</v>
      </c>
      <c r="Z12" s="81" t="str">
        <f t="shared" si="1"/>
        <v> ()</v>
      </c>
      <c r="AA12" s="15"/>
      <c r="AB12" s="15"/>
    </row>
    <row r="13" ht="15" customHeight="1" spans="1:28">
      <c r="A13" s="2" t="s">
        <v>658</v>
      </c>
      <c r="B13" s="80">
        <v>160</v>
      </c>
      <c r="C13" s="80">
        <v>28.3</v>
      </c>
      <c r="D13" s="80">
        <v>5</v>
      </c>
      <c r="E13" s="80" t="s">
        <v>659</v>
      </c>
      <c r="F13" s="81">
        <v>28</v>
      </c>
      <c r="G13" s="92" t="s">
        <v>660</v>
      </c>
      <c r="H13" s="82" t="s">
        <v>659</v>
      </c>
      <c r="I13" s="80">
        <v>151</v>
      </c>
      <c r="J13" s="80">
        <v>26.8</v>
      </c>
      <c r="K13" s="80">
        <v>4.3</v>
      </c>
      <c r="L13" s="80" t="s">
        <v>661</v>
      </c>
      <c r="M13" s="81">
        <v>26.2</v>
      </c>
      <c r="N13" s="92" t="s">
        <v>662</v>
      </c>
      <c r="O13" s="82" t="s">
        <v>655</v>
      </c>
      <c r="P13" s="96">
        <v>0.0068</v>
      </c>
      <c r="Q13" s="21">
        <v>0.0215403236284898</v>
      </c>
      <c r="R13" s="21">
        <v>0.0302394271981255</v>
      </c>
      <c r="S13" s="15"/>
      <c r="X13" s="2" t="s">
        <v>658</v>
      </c>
      <c r="Y13" s="81" t="str">
        <f t="shared" si="0"/>
        <v>28 (24.4; 31.6)</v>
      </c>
      <c r="Z13" s="81" t="str">
        <f t="shared" si="1"/>
        <v>26,2 (23.5; 29.3)</v>
      </c>
      <c r="AA13" s="21">
        <v>0.0215403236284898</v>
      </c>
      <c r="AB13" s="21">
        <v>0.0302394271981255</v>
      </c>
    </row>
    <row r="14" ht="13" customHeight="1" spans="1:28">
      <c r="A14" s="2" t="s">
        <v>663</v>
      </c>
      <c r="B14" s="80">
        <v>160</v>
      </c>
      <c r="C14" s="80">
        <v>93.9</v>
      </c>
      <c r="D14" s="80">
        <v>13.5</v>
      </c>
      <c r="E14" s="80" t="s">
        <v>664</v>
      </c>
      <c r="F14" s="81">
        <v>93.7</v>
      </c>
      <c r="G14" s="80" t="s">
        <v>665</v>
      </c>
      <c r="H14" s="82" t="s">
        <v>664</v>
      </c>
      <c r="I14" s="80">
        <v>151</v>
      </c>
      <c r="J14" s="80">
        <v>90.4</v>
      </c>
      <c r="K14" s="80">
        <v>12.2</v>
      </c>
      <c r="L14" s="80" t="s">
        <v>666</v>
      </c>
      <c r="M14" s="81">
        <v>89.6</v>
      </c>
      <c r="N14" s="80" t="s">
        <v>667</v>
      </c>
      <c r="O14" s="82" t="s">
        <v>666</v>
      </c>
      <c r="P14" s="96">
        <v>0.0254</v>
      </c>
      <c r="Q14" s="21">
        <v>0.0480607614956682</v>
      </c>
      <c r="R14" s="21">
        <v>0.0322290859761908</v>
      </c>
      <c r="S14" s="15"/>
      <c r="X14" s="2" t="s">
        <v>663</v>
      </c>
      <c r="Y14" s="81" t="str">
        <f t="shared" si="0"/>
        <v>93,7 (82.5; 103)</v>
      </c>
      <c r="Z14" s="81" t="str">
        <f t="shared" si="1"/>
        <v>89,6 (81.4; 98)</v>
      </c>
      <c r="AA14" s="21">
        <v>0.0480607614956682</v>
      </c>
      <c r="AB14" s="21">
        <v>0.0322290859761908</v>
      </c>
    </row>
    <row r="15" ht="13" customHeight="1" spans="1:28">
      <c r="A15" s="2" t="s">
        <v>14</v>
      </c>
      <c r="B15" s="80">
        <v>160</v>
      </c>
      <c r="C15" s="80">
        <v>34.3</v>
      </c>
      <c r="D15" s="80">
        <v>7.19</v>
      </c>
      <c r="E15" s="80" t="s">
        <v>668</v>
      </c>
      <c r="F15" s="81">
        <v>34</v>
      </c>
      <c r="G15" s="86" t="s">
        <v>669</v>
      </c>
      <c r="H15" s="86" t="s">
        <v>668</v>
      </c>
      <c r="I15" s="86">
        <v>151</v>
      </c>
      <c r="J15" s="80">
        <v>33.3</v>
      </c>
      <c r="K15" s="80">
        <v>7.28</v>
      </c>
      <c r="L15" s="80" t="s">
        <v>670</v>
      </c>
      <c r="M15" s="81">
        <v>33.4</v>
      </c>
      <c r="N15" s="86" t="s">
        <v>671</v>
      </c>
      <c r="O15" s="86" t="s">
        <v>670</v>
      </c>
      <c r="P15" s="96">
        <v>0.2721</v>
      </c>
      <c r="Q15" s="21">
        <v>0.266492376693653</v>
      </c>
      <c r="R15" s="21">
        <v>0.027916238771134</v>
      </c>
      <c r="S15" s="15"/>
      <c r="X15" s="2" t="s">
        <v>14</v>
      </c>
      <c r="Y15" s="81" t="str">
        <f t="shared" si="0"/>
        <v>34 (29.1; 39.2)</v>
      </c>
      <c r="Z15" s="81" t="str">
        <f t="shared" si="1"/>
        <v>33,4 (27.6; 39.1)</v>
      </c>
      <c r="AA15" s="21">
        <v>0.266492376693653</v>
      </c>
      <c r="AB15" s="21">
        <v>0.027916238771134</v>
      </c>
    </row>
    <row r="16" ht="13" customHeight="1" spans="1:28">
      <c r="A16" s="2" t="s">
        <v>672</v>
      </c>
      <c r="B16" s="80">
        <v>160</v>
      </c>
      <c r="C16" s="80">
        <v>7.44</v>
      </c>
      <c r="D16" s="80">
        <v>6.59</v>
      </c>
      <c r="E16" s="80" t="s">
        <v>673</v>
      </c>
      <c r="F16" s="81">
        <v>5.93</v>
      </c>
      <c r="G16" s="80" t="s">
        <v>674</v>
      </c>
      <c r="H16" s="82" t="s">
        <v>673</v>
      </c>
      <c r="I16" s="80">
        <v>151</v>
      </c>
      <c r="J16" s="80">
        <v>6.08</v>
      </c>
      <c r="K16" s="80">
        <v>5.48</v>
      </c>
      <c r="L16" s="80" t="s">
        <v>675</v>
      </c>
      <c r="M16" s="81">
        <v>4.79</v>
      </c>
      <c r="N16" s="80" t="s">
        <v>676</v>
      </c>
      <c r="O16" s="82" t="s">
        <v>675</v>
      </c>
      <c r="P16" s="96">
        <v>0.0664</v>
      </c>
      <c r="Q16" s="21">
        <v>0.139806050778154</v>
      </c>
      <c r="R16" s="21">
        <v>0.0766474856832004</v>
      </c>
      <c r="S16" s="102"/>
      <c r="W16" s="103"/>
      <c r="X16" s="2" t="s">
        <v>672</v>
      </c>
      <c r="Y16" s="81" t="str">
        <f t="shared" si="0"/>
        <v>5,93 (2.46; 11.4)</v>
      </c>
      <c r="Z16" s="81" t="str">
        <f t="shared" si="1"/>
        <v>4,79 (1.98; 8.65)</v>
      </c>
      <c r="AA16" s="21">
        <v>0.139806050778154</v>
      </c>
      <c r="AB16" s="21">
        <v>0.0766474856832004</v>
      </c>
    </row>
    <row r="17" ht="13" customHeight="1" spans="1:28">
      <c r="A17" s="2" t="s">
        <v>677</v>
      </c>
      <c r="B17" s="80">
        <v>160</v>
      </c>
      <c r="C17" s="80">
        <v>6.21</v>
      </c>
      <c r="D17" s="80">
        <v>3.35</v>
      </c>
      <c r="E17" s="80" t="s">
        <v>678</v>
      </c>
      <c r="F17" s="81">
        <v>5.63</v>
      </c>
      <c r="G17" s="80" t="s">
        <v>679</v>
      </c>
      <c r="H17" s="82" t="s">
        <v>678</v>
      </c>
      <c r="I17" s="80">
        <v>151</v>
      </c>
      <c r="J17" s="80">
        <v>7.19</v>
      </c>
      <c r="K17" s="80">
        <v>4.44</v>
      </c>
      <c r="L17" s="80" t="s">
        <v>680</v>
      </c>
      <c r="M17" s="81">
        <v>6.14</v>
      </c>
      <c r="N17" s="80" t="s">
        <v>681</v>
      </c>
      <c r="O17" s="82" t="s">
        <v>680</v>
      </c>
      <c r="P17" s="96">
        <v>0.0947</v>
      </c>
      <c r="Q17" s="21">
        <v>0.0893882493255806</v>
      </c>
      <c r="R17" s="21">
        <v>0.193365018749445</v>
      </c>
      <c r="S17" s="15"/>
      <c r="W17" s="104"/>
      <c r="X17" s="2" t="s">
        <v>677</v>
      </c>
      <c r="Y17" s="81" t="str">
        <f t="shared" si="0"/>
        <v>5,63 (3.97; 7.79)</v>
      </c>
      <c r="Z17" s="81" t="str">
        <f t="shared" si="1"/>
        <v>6,14 (4.06; 8.59)</v>
      </c>
      <c r="AA17" s="21">
        <v>0.0893882493255806</v>
      </c>
      <c r="AB17" s="21">
        <v>0.193365018749445</v>
      </c>
    </row>
    <row r="18" ht="13" customHeight="1" spans="1:28">
      <c r="A18" s="2" t="s">
        <v>303</v>
      </c>
      <c r="B18" s="80">
        <v>160</v>
      </c>
      <c r="C18" s="80">
        <v>1.79</v>
      </c>
      <c r="D18" s="80">
        <v>3.61</v>
      </c>
      <c r="E18" s="80" t="s">
        <v>682</v>
      </c>
      <c r="F18" s="81">
        <v>0.931</v>
      </c>
      <c r="G18" s="80" t="s">
        <v>683</v>
      </c>
      <c r="H18" s="82" t="s">
        <v>682</v>
      </c>
      <c r="I18" s="80">
        <v>151</v>
      </c>
      <c r="J18" s="80">
        <v>1.03</v>
      </c>
      <c r="K18" s="80">
        <v>1.05</v>
      </c>
      <c r="L18" s="80" t="s">
        <v>684</v>
      </c>
      <c r="M18" s="81">
        <v>0.727</v>
      </c>
      <c r="N18" s="80" t="s">
        <v>685</v>
      </c>
      <c r="O18" s="82" t="s">
        <v>684</v>
      </c>
      <c r="P18" s="96">
        <v>0.0104</v>
      </c>
      <c r="Q18" s="21">
        <v>0.0290162436224881</v>
      </c>
      <c r="R18" s="21">
        <v>0.0464693579530702</v>
      </c>
      <c r="S18" s="102"/>
      <c r="W18" s="104"/>
      <c r="X18" s="2" t="s">
        <v>303</v>
      </c>
      <c r="Y18" s="81" t="str">
        <f t="shared" si="0"/>
        <v>0,931 (0.455; 1.85)</v>
      </c>
      <c r="Z18" s="81" t="str">
        <f t="shared" si="1"/>
        <v>0,727 (0.317; 1.38)</v>
      </c>
      <c r="AA18" s="21">
        <v>0.0290162436224881</v>
      </c>
      <c r="AB18" s="21">
        <v>0.0464693579530702</v>
      </c>
    </row>
    <row r="19" spans="1:28">
      <c r="A19" s="2" t="s">
        <v>686</v>
      </c>
      <c r="B19" s="80">
        <v>160</v>
      </c>
      <c r="C19" s="80">
        <v>94</v>
      </c>
      <c r="D19" s="80">
        <v>29.5</v>
      </c>
      <c r="E19" s="80" t="s">
        <v>687</v>
      </c>
      <c r="F19" s="80">
        <v>91.6</v>
      </c>
      <c r="G19" s="80" t="s">
        <v>688</v>
      </c>
      <c r="H19" s="80" t="s">
        <v>687</v>
      </c>
      <c r="I19" s="80">
        <v>151</v>
      </c>
      <c r="J19" s="80">
        <v>99.1</v>
      </c>
      <c r="K19" s="80">
        <v>55.3</v>
      </c>
      <c r="L19" s="80" t="s">
        <v>689</v>
      </c>
      <c r="M19" s="80">
        <v>93.8</v>
      </c>
      <c r="N19" s="80" t="s">
        <v>690</v>
      </c>
      <c r="O19" s="80" t="s">
        <v>689</v>
      </c>
      <c r="P19" s="96">
        <v>0.515</v>
      </c>
      <c r="Q19" s="21">
        <v>0.340219577026938</v>
      </c>
      <c r="R19" s="21">
        <v>0.509064753461238</v>
      </c>
      <c r="S19" s="15"/>
      <c r="W19" s="104"/>
      <c r="X19" s="2" t="s">
        <v>686</v>
      </c>
      <c r="Y19" s="81" t="str">
        <f t="shared" si="0"/>
        <v>91,6 (74.3; 113)</v>
      </c>
      <c r="Z19" s="81" t="str">
        <f t="shared" si="1"/>
        <v>93,8 (79.7; 108)</v>
      </c>
      <c r="AA19" s="21">
        <v>0.340219577026938</v>
      </c>
      <c r="AB19" s="21">
        <v>0.509064753461238</v>
      </c>
    </row>
    <row r="20" ht="16" customHeight="1" spans="1:28">
      <c r="A20" s="2" t="s">
        <v>691</v>
      </c>
      <c r="B20" s="80">
        <v>160</v>
      </c>
      <c r="C20" s="80">
        <v>44.7</v>
      </c>
      <c r="D20" s="80">
        <v>12.6</v>
      </c>
      <c r="E20" s="80" t="s">
        <v>692</v>
      </c>
      <c r="F20" s="81">
        <v>43</v>
      </c>
      <c r="G20" s="82" t="s">
        <v>693</v>
      </c>
      <c r="H20" s="82" t="s">
        <v>692</v>
      </c>
      <c r="I20" s="86">
        <v>151</v>
      </c>
      <c r="J20" s="80">
        <v>47.4</v>
      </c>
      <c r="K20" s="80">
        <v>15.9</v>
      </c>
      <c r="L20" s="80" t="s">
        <v>694</v>
      </c>
      <c r="M20" s="81">
        <v>44</v>
      </c>
      <c r="N20" s="82" t="s">
        <v>695</v>
      </c>
      <c r="O20" s="86" t="s">
        <v>694</v>
      </c>
      <c r="P20" s="96">
        <v>0.1842</v>
      </c>
      <c r="Q20" s="21">
        <v>0.223442239390344</v>
      </c>
      <c r="R20" s="21">
        <v>0.199625355512336</v>
      </c>
      <c r="S20" s="15"/>
      <c r="W20" s="104"/>
      <c r="X20" s="2" t="s">
        <v>691</v>
      </c>
      <c r="Y20" s="81" t="str">
        <f t="shared" si="0"/>
        <v>43 (36; 52)</v>
      </c>
      <c r="Z20" s="81" t="str">
        <f t="shared" si="1"/>
        <v>44 (38; 54)</v>
      </c>
      <c r="AA20" s="21">
        <v>0.223442239390344</v>
      </c>
      <c r="AB20" s="21">
        <v>0.199625355512336</v>
      </c>
    </row>
    <row r="21" spans="1:28">
      <c r="A21" s="2" t="s">
        <v>696</v>
      </c>
      <c r="B21" s="80">
        <v>160</v>
      </c>
      <c r="C21" s="80">
        <v>29</v>
      </c>
      <c r="D21" s="80">
        <v>20.1</v>
      </c>
      <c r="E21" s="80" t="s">
        <v>697</v>
      </c>
      <c r="F21" s="81">
        <v>24</v>
      </c>
      <c r="G21" s="82" t="s">
        <v>698</v>
      </c>
      <c r="H21" s="82" t="s">
        <v>697</v>
      </c>
      <c r="I21" s="86">
        <v>151</v>
      </c>
      <c r="J21" s="80">
        <v>30.2</v>
      </c>
      <c r="K21" s="80">
        <v>22.5</v>
      </c>
      <c r="L21" s="80" t="s">
        <v>699</v>
      </c>
      <c r="M21" s="81">
        <v>25</v>
      </c>
      <c r="N21" s="82" t="s">
        <v>700</v>
      </c>
      <c r="O21" s="86" t="s">
        <v>699</v>
      </c>
      <c r="P21" s="96">
        <v>0.5334</v>
      </c>
      <c r="Q21" s="21">
        <v>0.6832679322454</v>
      </c>
      <c r="R21" s="21">
        <v>0.889886125336788</v>
      </c>
      <c r="S21" s="15"/>
      <c r="W21" s="104"/>
      <c r="X21" s="2" t="s">
        <v>696</v>
      </c>
      <c r="Y21" s="81" t="str">
        <f t="shared" si="0"/>
        <v>24 (17; 35)</v>
      </c>
      <c r="Z21" s="81" t="str">
        <f t="shared" si="1"/>
        <v>25 (17.9; 36)</v>
      </c>
      <c r="AA21" s="21">
        <v>0.6832679322454</v>
      </c>
      <c r="AB21" s="21">
        <v>0.889886125336788</v>
      </c>
    </row>
    <row r="22" spans="1:28">
      <c r="A22" s="2" t="s">
        <v>701</v>
      </c>
      <c r="B22" s="80">
        <v>158</v>
      </c>
      <c r="C22" s="80">
        <v>113</v>
      </c>
      <c r="D22" s="80">
        <v>30.4</v>
      </c>
      <c r="E22" s="80" t="s">
        <v>702</v>
      </c>
      <c r="F22" s="81">
        <v>109</v>
      </c>
      <c r="G22" s="82" t="s">
        <v>703</v>
      </c>
      <c r="H22" s="82" t="s">
        <v>702</v>
      </c>
      <c r="I22" s="86">
        <v>151</v>
      </c>
      <c r="J22" s="80">
        <v>118</v>
      </c>
      <c r="K22" s="80">
        <v>29.7</v>
      </c>
      <c r="L22" s="80" t="s">
        <v>704</v>
      </c>
      <c r="M22" s="81">
        <v>115</v>
      </c>
      <c r="N22" s="82" t="s">
        <v>705</v>
      </c>
      <c r="O22" s="86" t="s">
        <v>704</v>
      </c>
      <c r="P22" s="96">
        <v>0.138</v>
      </c>
      <c r="Q22" s="21">
        <v>0.233230775186195</v>
      </c>
      <c r="R22" s="21">
        <v>0.419775061057706</v>
      </c>
      <c r="S22" s="15"/>
      <c r="W22" s="104"/>
      <c r="X22" s="2" t="s">
        <v>701</v>
      </c>
      <c r="Y22" s="81" t="str">
        <f t="shared" si="0"/>
        <v>109 (92.8; 129)</v>
      </c>
      <c r="Z22" s="81" t="str">
        <f t="shared" si="1"/>
        <v>115 (94; 138)</v>
      </c>
      <c r="AA22" s="21">
        <v>0.233230775186195</v>
      </c>
      <c r="AB22" s="21">
        <v>0.419775061057706</v>
      </c>
    </row>
    <row r="23" spans="1:28">
      <c r="A23" s="2" t="s">
        <v>706</v>
      </c>
      <c r="B23" s="80">
        <v>160</v>
      </c>
      <c r="C23" s="80">
        <v>183</v>
      </c>
      <c r="D23" s="80">
        <v>34.9</v>
      </c>
      <c r="E23" s="80" t="s">
        <v>707</v>
      </c>
      <c r="F23" s="81">
        <v>183</v>
      </c>
      <c r="G23" s="82" t="s">
        <v>708</v>
      </c>
      <c r="H23" s="82" t="s">
        <v>707</v>
      </c>
      <c r="I23" s="86">
        <v>151</v>
      </c>
      <c r="J23" s="80">
        <v>191</v>
      </c>
      <c r="K23" s="80">
        <v>33.7</v>
      </c>
      <c r="L23" s="80" t="s">
        <v>709</v>
      </c>
      <c r="M23" s="81">
        <v>187</v>
      </c>
      <c r="N23" s="82" t="s">
        <v>710</v>
      </c>
      <c r="O23" s="86"/>
      <c r="P23" s="96">
        <v>0.0723</v>
      </c>
      <c r="Q23" s="21">
        <v>0.0984426532586718</v>
      </c>
      <c r="R23" s="21">
        <v>0.200725980267524</v>
      </c>
      <c r="S23" s="15"/>
      <c r="W23" s="104"/>
      <c r="X23" s="2" t="s">
        <v>706</v>
      </c>
      <c r="Y23" s="81" t="str">
        <f t="shared" si="0"/>
        <v>183 (161; 207)</v>
      </c>
      <c r="Z23" s="81" t="str">
        <f t="shared" si="1"/>
        <v>187 (166; 212)</v>
      </c>
      <c r="AA23" s="21">
        <v>0.0984426532586718</v>
      </c>
      <c r="AB23" s="21">
        <v>0.200725980267524</v>
      </c>
    </row>
    <row r="24" spans="1:28">
      <c r="A24" s="2" t="s">
        <v>711</v>
      </c>
      <c r="B24" s="80">
        <v>160</v>
      </c>
      <c r="C24" s="80">
        <v>146</v>
      </c>
      <c r="D24" s="80">
        <v>101</v>
      </c>
      <c r="E24" s="80" t="s">
        <v>712</v>
      </c>
      <c r="F24" s="81">
        <v>121</v>
      </c>
      <c r="G24" s="82" t="s">
        <v>713</v>
      </c>
      <c r="H24" s="82" t="s">
        <v>712</v>
      </c>
      <c r="I24" s="86">
        <v>151</v>
      </c>
      <c r="J24" s="80">
        <v>150</v>
      </c>
      <c r="K24" s="80">
        <v>112</v>
      </c>
      <c r="L24" s="80" t="s">
        <v>714</v>
      </c>
      <c r="M24" s="81">
        <v>127</v>
      </c>
      <c r="N24" s="82" t="s">
        <v>715</v>
      </c>
      <c r="O24" s="86" t="str">
        <f>CONCATENATE($U$57,"; ",$U$58)</f>
        <v>25,3; 27,1</v>
      </c>
      <c r="P24" s="96">
        <v>0.6388</v>
      </c>
      <c r="Q24" s="21">
        <v>0.766718990516337</v>
      </c>
      <c r="R24" s="21">
        <v>0.808071545186417</v>
      </c>
      <c r="S24" s="15"/>
      <c r="W24" s="104"/>
      <c r="X24" s="2" t="s">
        <v>711</v>
      </c>
      <c r="Y24" s="81" t="str">
        <f t="shared" si="0"/>
        <v>121 (84; 175)</v>
      </c>
      <c r="Z24" s="81" t="str">
        <f t="shared" si="1"/>
        <v>127 (89; 175)</v>
      </c>
      <c r="AA24" s="21">
        <v>0.766718990516337</v>
      </c>
      <c r="AB24" s="21">
        <v>0.808071545186417</v>
      </c>
    </row>
    <row r="25" spans="1:28">
      <c r="A25" s="2" t="s">
        <v>49</v>
      </c>
      <c r="B25" s="80">
        <v>160</v>
      </c>
      <c r="C25" s="80">
        <v>4.43</v>
      </c>
      <c r="D25" s="80">
        <v>1.67</v>
      </c>
      <c r="E25" s="80" t="s">
        <v>716</v>
      </c>
      <c r="F25" s="81">
        <v>4.06</v>
      </c>
      <c r="G25" s="82" t="s">
        <v>717</v>
      </c>
      <c r="H25" s="82" t="s">
        <v>716</v>
      </c>
      <c r="I25" s="86">
        <v>151</v>
      </c>
      <c r="J25" s="80">
        <v>4.39</v>
      </c>
      <c r="K25" s="80">
        <v>1.47</v>
      </c>
      <c r="L25" s="80" t="s">
        <v>718</v>
      </c>
      <c r="M25" s="81">
        <v>4.3</v>
      </c>
      <c r="N25" s="82" t="s">
        <v>719</v>
      </c>
      <c r="O25" s="86"/>
      <c r="P25" s="96">
        <v>0.9141</v>
      </c>
      <c r="Q25" s="21">
        <v>0.877660149644634</v>
      </c>
      <c r="R25" s="21">
        <v>0.761775508376789</v>
      </c>
      <c r="S25" s="15"/>
      <c r="W25" s="104"/>
      <c r="X25" s="2" t="s">
        <v>49</v>
      </c>
      <c r="Y25" s="81" t="str">
        <f t="shared" si="0"/>
        <v>4,06 (3.36; 5.23)</v>
      </c>
      <c r="Z25" s="81" t="str">
        <f t="shared" si="1"/>
        <v>4,3 (3.32; 5.24)</v>
      </c>
      <c r="AA25" s="21">
        <v>0.877660149644634</v>
      </c>
      <c r="AB25" s="21">
        <v>0.761775508376789</v>
      </c>
    </row>
    <row r="26" ht="13" customHeight="1" spans="1:27">
      <c r="A26" s="2" t="s">
        <v>365</v>
      </c>
      <c r="B26" s="80">
        <v>160</v>
      </c>
      <c r="C26" s="80">
        <v>0.459</v>
      </c>
      <c r="D26" s="80">
        <v>0.323</v>
      </c>
      <c r="E26" s="80" t="s">
        <v>720</v>
      </c>
      <c r="F26" s="82">
        <v>0.43</v>
      </c>
      <c r="G26" s="82" t="s">
        <v>721</v>
      </c>
      <c r="H26" s="82" t="s">
        <v>720</v>
      </c>
      <c r="I26" s="86">
        <v>151</v>
      </c>
      <c r="J26" s="80">
        <v>0.448</v>
      </c>
      <c r="K26" s="80">
        <v>0.328</v>
      </c>
      <c r="L26" s="80" t="s">
        <v>722</v>
      </c>
      <c r="M26" s="82">
        <v>0.437</v>
      </c>
      <c r="N26" s="82" t="s">
        <v>723</v>
      </c>
      <c r="O26" s="86"/>
      <c r="P26" s="96">
        <v>0.8174</v>
      </c>
      <c r="Q26" s="21"/>
      <c r="W26" s="104"/>
      <c r="X26" s="2" t="s">
        <v>365</v>
      </c>
      <c r="Y26" s="81" t="str">
        <f t="shared" si="0"/>
        <v>0,43 (0.245; 0.674)</v>
      </c>
      <c r="Z26" s="81" t="str">
        <f t="shared" si="1"/>
        <v>0,437 (0.218; 0.681)</v>
      </c>
      <c r="AA26" s="21"/>
    </row>
    <row r="27" hidden="1" spans="1:28">
      <c r="A27" s="2" t="s">
        <v>724</v>
      </c>
      <c r="B27" s="80">
        <v>160</v>
      </c>
      <c r="C27" s="80">
        <v>5.72</v>
      </c>
      <c r="D27" s="80">
        <v>0.642</v>
      </c>
      <c r="E27" s="80" t="s">
        <v>725</v>
      </c>
      <c r="F27" s="82">
        <v>5.66</v>
      </c>
      <c r="G27" s="82" t="s">
        <v>726</v>
      </c>
      <c r="H27" s="82" t="s">
        <v>725</v>
      </c>
      <c r="I27" s="86">
        <v>151</v>
      </c>
      <c r="J27" s="80">
        <v>5.72</v>
      </c>
      <c r="K27" s="80">
        <v>0.629</v>
      </c>
      <c r="L27" s="80" t="s">
        <v>727</v>
      </c>
      <c r="M27" s="82">
        <v>5.67</v>
      </c>
      <c r="N27" s="82" t="s">
        <v>728</v>
      </c>
      <c r="O27" s="86"/>
      <c r="P27" s="96">
        <v>0.9196</v>
      </c>
      <c r="Q27" s="21"/>
      <c r="R27" s="15"/>
      <c r="S27" s="15"/>
      <c r="W27" s="104"/>
      <c r="X27" s="2" t="s">
        <v>724</v>
      </c>
      <c r="Y27" s="81" t="str">
        <f t="shared" si="0"/>
        <v>5,66 (5.3; 6.12)</v>
      </c>
      <c r="Z27" s="81" t="str">
        <f t="shared" si="1"/>
        <v>5,67 (5.35; 6.09)</v>
      </c>
      <c r="AA27" s="21"/>
      <c r="AB27" s="15"/>
    </row>
    <row r="28" hidden="1" spans="1:28">
      <c r="A28" s="2" t="s">
        <v>729</v>
      </c>
      <c r="B28" s="80">
        <v>160</v>
      </c>
      <c r="C28" s="80">
        <v>163</v>
      </c>
      <c r="D28" s="80">
        <v>39.1</v>
      </c>
      <c r="E28" s="80" t="s">
        <v>730</v>
      </c>
      <c r="F28" s="82">
        <v>162</v>
      </c>
      <c r="G28" s="82" t="s">
        <v>731</v>
      </c>
      <c r="H28" s="82" t="s">
        <v>730</v>
      </c>
      <c r="I28" s="86">
        <v>151</v>
      </c>
      <c r="J28" s="80">
        <v>154</v>
      </c>
      <c r="K28" s="80">
        <v>34.6</v>
      </c>
      <c r="L28" s="80" t="s">
        <v>732</v>
      </c>
      <c r="M28" s="82">
        <v>151</v>
      </c>
      <c r="N28" s="82" t="s">
        <v>733</v>
      </c>
      <c r="O28" s="86"/>
      <c r="P28" s="96">
        <v>0.042</v>
      </c>
      <c r="Q28" s="21"/>
      <c r="R28" s="15"/>
      <c r="S28" s="15"/>
      <c r="W28" s="104"/>
      <c r="X28" s="2" t="s">
        <v>729</v>
      </c>
      <c r="Y28" s="81" t="str">
        <f t="shared" si="0"/>
        <v>162 (135; 183)</v>
      </c>
      <c r="Z28" s="81" t="str">
        <f t="shared" si="1"/>
        <v>151 (126; 174)</v>
      </c>
      <c r="AA28" s="21"/>
      <c r="AB28" s="15"/>
    </row>
    <row r="29" hidden="1" spans="1:28">
      <c r="A29" s="2" t="s">
        <v>734</v>
      </c>
      <c r="B29" s="80">
        <v>160</v>
      </c>
      <c r="C29" s="80">
        <v>540</v>
      </c>
      <c r="D29" s="80">
        <v>117</v>
      </c>
      <c r="E29" s="80" t="s">
        <v>735</v>
      </c>
      <c r="F29" s="82">
        <v>537</v>
      </c>
      <c r="G29" s="82" t="s">
        <v>736</v>
      </c>
      <c r="H29" s="82" t="s">
        <v>735</v>
      </c>
      <c r="I29" s="86">
        <v>151</v>
      </c>
      <c r="J29" s="80">
        <v>520</v>
      </c>
      <c r="K29" s="80">
        <v>109</v>
      </c>
      <c r="L29" s="80" t="s">
        <v>737</v>
      </c>
      <c r="M29" s="82">
        <v>522</v>
      </c>
      <c r="N29" s="82" t="s">
        <v>738</v>
      </c>
      <c r="O29" s="86"/>
      <c r="P29" s="96">
        <v>0.138</v>
      </c>
      <c r="Q29" s="21"/>
      <c r="R29" s="15"/>
      <c r="S29" s="15"/>
      <c r="W29" s="104"/>
      <c r="X29" s="2" t="s">
        <v>734</v>
      </c>
      <c r="Y29" s="81" t="str">
        <f t="shared" si="0"/>
        <v>537 (460; 603)</v>
      </c>
      <c r="Z29" s="81" t="str">
        <f t="shared" si="1"/>
        <v>522 (426; 593)</v>
      </c>
      <c r="AA29" s="21"/>
      <c r="AB29" s="15"/>
    </row>
    <row r="30" hidden="1" spans="1:28">
      <c r="A30" s="2" t="s">
        <v>739</v>
      </c>
      <c r="B30" s="80">
        <v>160</v>
      </c>
      <c r="C30" s="80">
        <v>3.3</v>
      </c>
      <c r="D30" s="80">
        <v>0.683</v>
      </c>
      <c r="E30" s="80" t="s">
        <v>740</v>
      </c>
      <c r="F30" s="82">
        <v>3.3</v>
      </c>
      <c r="G30" s="82" t="s">
        <v>741</v>
      </c>
      <c r="H30" s="82" t="s">
        <v>740</v>
      </c>
      <c r="I30" s="86">
        <v>151</v>
      </c>
      <c r="J30" s="80">
        <v>3.18</v>
      </c>
      <c r="K30" s="80">
        <v>0.634</v>
      </c>
      <c r="L30" s="80" t="s">
        <v>742</v>
      </c>
      <c r="M30" s="82">
        <v>3.16</v>
      </c>
      <c r="N30" s="82" t="s">
        <v>743</v>
      </c>
      <c r="O30" s="86"/>
      <c r="P30" s="96">
        <v>0.1139</v>
      </c>
      <c r="Q30" s="21"/>
      <c r="R30" s="102"/>
      <c r="S30" s="102"/>
      <c r="X30" s="2" t="s">
        <v>739</v>
      </c>
      <c r="Y30" s="81" t="str">
        <f t="shared" si="0"/>
        <v>3,3 (2.85; 3.71)</v>
      </c>
      <c r="Z30" s="81" t="str">
        <f t="shared" si="1"/>
        <v>3,16 (2.67; 3.59)</v>
      </c>
      <c r="AA30" s="21"/>
      <c r="AB30" s="102"/>
    </row>
    <row r="31" hidden="1" spans="1:28">
      <c r="A31" s="2" t="s">
        <v>744</v>
      </c>
      <c r="B31" s="80">
        <v>160</v>
      </c>
      <c r="C31" s="80">
        <v>130</v>
      </c>
      <c r="D31" s="80">
        <v>11</v>
      </c>
      <c r="E31" s="80" t="s">
        <v>745</v>
      </c>
      <c r="F31" s="82">
        <v>130</v>
      </c>
      <c r="G31" s="82" t="s">
        <v>746</v>
      </c>
      <c r="H31" s="82" t="s">
        <v>745</v>
      </c>
      <c r="I31" s="86">
        <v>151</v>
      </c>
      <c r="J31" s="80">
        <v>130</v>
      </c>
      <c r="K31" s="80">
        <v>11.8</v>
      </c>
      <c r="L31" s="80" t="s">
        <v>747</v>
      </c>
      <c r="M31" s="82">
        <v>129</v>
      </c>
      <c r="N31" s="82" t="s">
        <v>748</v>
      </c>
      <c r="O31" s="86"/>
      <c r="P31" s="96">
        <v>0.5105</v>
      </c>
      <c r="Q31" s="21"/>
      <c r="R31" s="15"/>
      <c r="S31" s="15"/>
      <c r="X31" s="2" t="s">
        <v>744</v>
      </c>
      <c r="Y31" s="81" t="str">
        <f t="shared" si="0"/>
        <v>130 (121; 138)</v>
      </c>
      <c r="Z31" s="81" t="str">
        <f t="shared" si="1"/>
        <v>129 (121; 136)</v>
      </c>
      <c r="AA31" s="21"/>
      <c r="AB31" s="15"/>
    </row>
    <row r="32" hidden="1" spans="1:27">
      <c r="A32" s="2" t="s">
        <v>749</v>
      </c>
      <c r="B32" s="80">
        <v>158</v>
      </c>
      <c r="C32" s="80">
        <v>158</v>
      </c>
      <c r="D32" s="80">
        <v>77.8</v>
      </c>
      <c r="E32" s="80" t="s">
        <v>750</v>
      </c>
      <c r="F32" s="82">
        <v>152</v>
      </c>
      <c r="G32" s="82" t="s">
        <v>751</v>
      </c>
      <c r="H32" s="82" t="s">
        <v>750</v>
      </c>
      <c r="I32" s="86">
        <v>151</v>
      </c>
      <c r="J32" s="80">
        <v>139</v>
      </c>
      <c r="K32" s="80">
        <v>73.3</v>
      </c>
      <c r="L32" s="80" t="s">
        <v>752</v>
      </c>
      <c r="M32" s="82">
        <v>136</v>
      </c>
      <c r="N32" s="82" t="s">
        <v>753</v>
      </c>
      <c r="O32" s="86"/>
      <c r="P32" s="96">
        <v>0.0305</v>
      </c>
      <c r="Q32" s="21"/>
      <c r="X32" s="2" t="s">
        <v>749</v>
      </c>
      <c r="Y32" s="81" t="str">
        <f t="shared" si="0"/>
        <v>152 (104; 206)</v>
      </c>
      <c r="Z32" s="81" t="str">
        <f t="shared" si="1"/>
        <v>136 (80; 190)</v>
      </c>
      <c r="AA32" s="21"/>
    </row>
    <row r="33" spans="1:28">
      <c r="A33" s="2" t="s">
        <v>754</v>
      </c>
      <c r="B33" s="80">
        <v>160</v>
      </c>
      <c r="C33" s="80">
        <v>3.64</v>
      </c>
      <c r="D33" s="80">
        <v>6.03</v>
      </c>
      <c r="E33" s="80" t="s">
        <v>755</v>
      </c>
      <c r="F33" s="82">
        <v>2.07</v>
      </c>
      <c r="G33" s="82" t="s">
        <v>756</v>
      </c>
      <c r="H33" s="82" t="s">
        <v>755</v>
      </c>
      <c r="I33" s="86">
        <v>151</v>
      </c>
      <c r="J33" s="80">
        <v>2.52</v>
      </c>
      <c r="K33" s="80">
        <v>2.4</v>
      </c>
      <c r="L33" s="80" t="s">
        <v>757</v>
      </c>
      <c r="M33" s="82">
        <v>1.7</v>
      </c>
      <c r="N33" s="82" t="s">
        <v>758</v>
      </c>
      <c r="O33" s="86"/>
      <c r="P33" s="96">
        <v>0.0205</v>
      </c>
      <c r="Q33" s="21">
        <v>0.0317226544917274</v>
      </c>
      <c r="R33" s="21">
        <v>0.0766474856832004</v>
      </c>
      <c r="X33" s="2" t="s">
        <v>754</v>
      </c>
      <c r="Y33" s="81" t="str">
        <f t="shared" si="0"/>
        <v>2,07 (1.3; 3.78)</v>
      </c>
      <c r="Z33" s="81" t="str">
        <f t="shared" si="1"/>
        <v>1,7 (0.9; 3.28)</v>
      </c>
      <c r="AA33" s="21">
        <v>0.0317226544917274</v>
      </c>
      <c r="AB33" s="21">
        <v>0.0766474856832004</v>
      </c>
    </row>
    <row r="34" spans="1:28">
      <c r="A34" s="2" t="s">
        <v>759</v>
      </c>
      <c r="B34" s="80">
        <v>160</v>
      </c>
      <c r="C34" s="80">
        <v>90.7</v>
      </c>
      <c r="D34" s="80">
        <v>26.8</v>
      </c>
      <c r="E34" s="80" t="s">
        <v>760</v>
      </c>
      <c r="F34" s="82">
        <v>86.5</v>
      </c>
      <c r="G34" s="82" t="s">
        <v>761</v>
      </c>
      <c r="H34" s="82" t="s">
        <v>760</v>
      </c>
      <c r="I34" s="86">
        <v>151</v>
      </c>
      <c r="J34" s="80">
        <v>87.8</v>
      </c>
      <c r="K34" s="80">
        <v>20.9</v>
      </c>
      <c r="L34" s="80" t="s">
        <v>762</v>
      </c>
      <c r="M34" s="82">
        <v>84</v>
      </c>
      <c r="N34" s="82" t="s">
        <v>763</v>
      </c>
      <c r="O34" s="86"/>
      <c r="P34" s="96">
        <v>0.0422</v>
      </c>
      <c r="Q34" s="21">
        <v>0.266492376693653</v>
      </c>
      <c r="R34" s="21">
        <v>0.238004578705572</v>
      </c>
      <c r="S34" s="102"/>
      <c r="X34" s="2" t="s">
        <v>759</v>
      </c>
      <c r="Y34" s="81" t="str">
        <f t="shared" si="0"/>
        <v>86,5 (82; 93)</v>
      </c>
      <c r="Z34" s="81" t="str">
        <f t="shared" si="1"/>
        <v>84 (80; 91)</v>
      </c>
      <c r="AA34" s="21">
        <v>0.266492376693653</v>
      </c>
      <c r="AB34" s="21">
        <v>0.238004578705572</v>
      </c>
    </row>
    <row r="35" spans="1:28">
      <c r="A35" s="2" t="s">
        <v>764</v>
      </c>
      <c r="B35" s="80">
        <v>160</v>
      </c>
      <c r="C35" s="80">
        <v>13.9</v>
      </c>
      <c r="D35" s="80">
        <v>8.46</v>
      </c>
      <c r="E35" s="80" t="s">
        <v>765</v>
      </c>
      <c r="F35" s="82">
        <v>11.7</v>
      </c>
      <c r="G35" s="82" t="s">
        <v>766</v>
      </c>
      <c r="H35" s="82" t="s">
        <v>765</v>
      </c>
      <c r="I35" s="86">
        <v>151</v>
      </c>
      <c r="J35" s="80">
        <v>12.2</v>
      </c>
      <c r="K35" s="80">
        <v>8.11</v>
      </c>
      <c r="L35" s="80" t="s">
        <v>767</v>
      </c>
      <c r="M35" s="82">
        <v>9.44</v>
      </c>
      <c r="N35" s="82" t="s">
        <v>768</v>
      </c>
      <c r="O35" s="86"/>
      <c r="P35" s="96">
        <v>0.009</v>
      </c>
      <c r="Q35" s="21">
        <v>0.0490067135390565</v>
      </c>
      <c r="R35" s="21">
        <v>0.0356564273941932</v>
      </c>
      <c r="X35" s="2" t="s">
        <v>764</v>
      </c>
      <c r="Y35" s="81" t="str">
        <f t="shared" si="0"/>
        <v>11,7 (8.14; 18.5)</v>
      </c>
      <c r="Z35" s="81" t="str">
        <f t="shared" si="1"/>
        <v>9,44 (7.26; 15.2)</v>
      </c>
      <c r="AA35" s="21">
        <v>0.0490067135390565</v>
      </c>
      <c r="AB35" s="21">
        <v>0.0356564273941932</v>
      </c>
    </row>
    <row r="36" spans="1:28">
      <c r="A36" s="2" t="s">
        <v>769</v>
      </c>
      <c r="B36" s="80">
        <v>160</v>
      </c>
      <c r="C36" s="80">
        <v>5.5</v>
      </c>
      <c r="D36" s="80">
        <v>0.728</v>
      </c>
      <c r="E36" s="80" t="s">
        <v>770</v>
      </c>
      <c r="F36" s="82">
        <v>5.4</v>
      </c>
      <c r="G36" s="82" t="s">
        <v>771</v>
      </c>
      <c r="H36" s="82" t="s">
        <v>770</v>
      </c>
      <c r="I36" s="86">
        <v>151</v>
      </c>
      <c r="J36" s="80">
        <v>5.62</v>
      </c>
      <c r="K36" s="80">
        <v>0.607</v>
      </c>
      <c r="L36" s="80" t="s">
        <v>772</v>
      </c>
      <c r="M36" s="82">
        <v>5.5</v>
      </c>
      <c r="N36" s="82" t="s">
        <v>773</v>
      </c>
      <c r="O36" s="86"/>
      <c r="P36" s="96">
        <v>0.0026</v>
      </c>
      <c r="Q36" s="21">
        <v>0.0988914380696995</v>
      </c>
      <c r="R36" s="21">
        <v>0.544570397652444</v>
      </c>
      <c r="S36" s="15"/>
      <c r="X36" s="2" t="s">
        <v>769</v>
      </c>
      <c r="Y36" s="81" t="str">
        <f t="shared" si="0"/>
        <v>5,4 (5.2; 5.7)</v>
      </c>
      <c r="Z36" s="81" t="str">
        <f t="shared" si="1"/>
        <v>5,5 (5.3; 5.8)</v>
      </c>
      <c r="AA36" s="21">
        <v>0.0988914380696995</v>
      </c>
      <c r="AB36" s="21">
        <v>0.544570397652444</v>
      </c>
    </row>
    <row r="37" hidden="1" spans="1:28">
      <c r="A37" s="2" t="s">
        <v>408</v>
      </c>
      <c r="B37" s="80">
        <v>160</v>
      </c>
      <c r="C37" s="80">
        <v>239</v>
      </c>
      <c r="D37" s="80">
        <v>322</v>
      </c>
      <c r="E37" s="80" t="s">
        <v>774</v>
      </c>
      <c r="F37" s="82">
        <v>191</v>
      </c>
      <c r="G37" s="82" t="s">
        <v>775</v>
      </c>
      <c r="H37" s="82" t="s">
        <v>774</v>
      </c>
      <c r="I37" s="86">
        <v>151</v>
      </c>
      <c r="J37" s="80">
        <v>231</v>
      </c>
      <c r="K37" s="80">
        <v>300</v>
      </c>
      <c r="L37" s="80" t="s">
        <v>776</v>
      </c>
      <c r="M37" s="82">
        <v>172</v>
      </c>
      <c r="N37" s="82" t="s">
        <v>777</v>
      </c>
      <c r="O37" s="86"/>
      <c r="P37" s="96">
        <v>0.3976</v>
      </c>
      <c r="Q37" s="15"/>
      <c r="R37" s="15"/>
      <c r="S37" s="15"/>
      <c r="X37" s="2" t="s">
        <v>408</v>
      </c>
      <c r="Y37" s="81" t="str">
        <f t="shared" si="0"/>
        <v>191 (124; 256)</v>
      </c>
      <c r="Z37" s="81" t="str">
        <f t="shared" si="1"/>
        <v>172 (113; 263)</v>
      </c>
      <c r="AA37" s="15"/>
      <c r="AB37" s="15"/>
    </row>
    <row r="38" hidden="1" spans="1:26">
      <c r="A38" s="2" t="s">
        <v>415</v>
      </c>
      <c r="B38" s="80">
        <v>160</v>
      </c>
      <c r="C38" s="80">
        <v>47</v>
      </c>
      <c r="D38" s="80">
        <v>33.1</v>
      </c>
      <c r="E38" s="80" t="s">
        <v>778</v>
      </c>
      <c r="F38" s="82">
        <v>40.2</v>
      </c>
      <c r="G38" s="82" t="s">
        <v>779</v>
      </c>
      <c r="H38" s="82" t="s">
        <v>778</v>
      </c>
      <c r="I38" s="86">
        <v>151</v>
      </c>
      <c r="J38" s="80">
        <v>55.8</v>
      </c>
      <c r="K38" s="80">
        <v>35.4</v>
      </c>
      <c r="L38" s="80" t="s">
        <v>780</v>
      </c>
      <c r="M38" s="82">
        <v>50.6</v>
      </c>
      <c r="N38" s="82" t="s">
        <v>781</v>
      </c>
      <c r="O38" s="86"/>
      <c r="P38" s="96">
        <v>0.0072</v>
      </c>
      <c r="X38" s="2" t="s">
        <v>415</v>
      </c>
      <c r="Y38" s="81" t="str">
        <f t="shared" si="0"/>
        <v>40,2 (25.8; 58.3)</v>
      </c>
      <c r="Z38" s="81" t="str">
        <f t="shared" si="1"/>
        <v>50,6 (28.2; 68.9)</v>
      </c>
    </row>
    <row r="39" spans="1:28">
      <c r="A39" s="2" t="s">
        <v>74</v>
      </c>
      <c r="B39" s="80">
        <v>160</v>
      </c>
      <c r="C39" s="80">
        <v>3.33</v>
      </c>
      <c r="D39" s="80">
        <v>4.04</v>
      </c>
      <c r="E39" s="80" t="s">
        <v>782</v>
      </c>
      <c r="F39" s="82">
        <v>2.49</v>
      </c>
      <c r="G39" s="82" t="s">
        <v>783</v>
      </c>
      <c r="H39" s="82" t="s">
        <v>782</v>
      </c>
      <c r="I39" s="86">
        <v>151</v>
      </c>
      <c r="J39" s="80">
        <v>2.7</v>
      </c>
      <c r="K39" s="80">
        <v>2.04</v>
      </c>
      <c r="L39" s="80" t="s">
        <v>784</v>
      </c>
      <c r="M39" s="82">
        <v>1.97</v>
      </c>
      <c r="N39" s="82" t="s">
        <v>785</v>
      </c>
      <c r="O39" s="86"/>
      <c r="P39" s="96">
        <v>0.0072</v>
      </c>
      <c r="Q39" s="21">
        <v>0.0480607614956682</v>
      </c>
      <c r="R39" s="21">
        <v>0.0322290859761908</v>
      </c>
      <c r="X39" s="2" t="s">
        <v>74</v>
      </c>
      <c r="Y39" s="81" t="str">
        <f t="shared" si="0"/>
        <v>2,49 (1.71; 3.88)</v>
      </c>
      <c r="Z39" s="81" t="str">
        <f t="shared" si="1"/>
        <v>1,97 (1.45; 3.54)</v>
      </c>
      <c r="AA39" s="21">
        <v>0.0480607614956682</v>
      </c>
      <c r="AB39" s="21">
        <v>0.0322290859761908</v>
      </c>
    </row>
    <row r="40" ht="28" hidden="1" spans="1:28">
      <c r="A40" s="2" t="s">
        <v>428</v>
      </c>
      <c r="B40" s="80">
        <v>160</v>
      </c>
      <c r="C40" s="80">
        <v>0.333</v>
      </c>
      <c r="D40" s="80">
        <v>0.031</v>
      </c>
      <c r="E40" s="80" t="s">
        <v>786</v>
      </c>
      <c r="F40" s="82">
        <v>0.332</v>
      </c>
      <c r="G40" s="82" t="s">
        <v>787</v>
      </c>
      <c r="H40" s="82" t="s">
        <v>786</v>
      </c>
      <c r="I40" s="86">
        <v>151</v>
      </c>
      <c r="J40" s="80">
        <v>0.342</v>
      </c>
      <c r="K40" s="80">
        <v>0.0323</v>
      </c>
      <c r="L40" s="80" t="s">
        <v>788</v>
      </c>
      <c r="M40" s="82">
        <v>0.344</v>
      </c>
      <c r="N40" s="82" t="s">
        <v>789</v>
      </c>
      <c r="O40" s="86"/>
      <c r="P40" s="96">
        <v>0.0072</v>
      </c>
      <c r="Q40" s="105"/>
      <c r="R40" s="105"/>
      <c r="S40" s="105"/>
      <c r="X40" s="2" t="s">
        <v>428</v>
      </c>
      <c r="Y40" s="81" t="str">
        <f t="shared" si="0"/>
        <v>0,332 (0.312; 0.351)</v>
      </c>
      <c r="Z40" s="81" t="str">
        <f t="shared" si="1"/>
        <v>0,344 (0.316; 0.361)</v>
      </c>
      <c r="AA40" s="105"/>
      <c r="AB40" s="105"/>
    </row>
    <row r="41" spans="1:28">
      <c r="A41" s="2" t="s">
        <v>790</v>
      </c>
      <c r="B41" s="80">
        <v>159</v>
      </c>
      <c r="C41" s="80">
        <v>125</v>
      </c>
      <c r="D41" s="80">
        <v>18.4</v>
      </c>
      <c r="E41" s="80" t="s">
        <v>791</v>
      </c>
      <c r="F41" s="82">
        <v>124</v>
      </c>
      <c r="G41" s="82" t="s">
        <v>792</v>
      </c>
      <c r="H41" s="82" t="s">
        <v>791</v>
      </c>
      <c r="I41" s="86">
        <v>151</v>
      </c>
      <c r="J41" s="80">
        <v>123</v>
      </c>
      <c r="K41" s="80">
        <v>19.5</v>
      </c>
      <c r="L41" s="80" t="s">
        <v>793</v>
      </c>
      <c r="M41" s="82">
        <v>121</v>
      </c>
      <c r="N41" s="82" t="s">
        <v>794</v>
      </c>
      <c r="O41" s="86"/>
      <c r="P41" s="96">
        <v>0.48</v>
      </c>
      <c r="Q41" s="21">
        <v>0.558671784738582</v>
      </c>
      <c r="R41" s="21">
        <v>0.509064753461238</v>
      </c>
      <c r="S41" s="15"/>
      <c r="X41" s="2" t="s">
        <v>790</v>
      </c>
      <c r="Y41" s="81" t="str">
        <f t="shared" si="0"/>
        <v>124 (109; 136)</v>
      </c>
      <c r="Z41" s="81" t="str">
        <f t="shared" si="1"/>
        <v>121 (110; 134)</v>
      </c>
      <c r="AA41" s="21">
        <v>0.558671784738582</v>
      </c>
      <c r="AB41" s="21">
        <v>0.509064753461238</v>
      </c>
    </row>
    <row r="42" spans="1:28">
      <c r="A42" s="2" t="s">
        <v>795</v>
      </c>
      <c r="B42" s="80">
        <v>160</v>
      </c>
      <c r="C42" s="80">
        <v>81</v>
      </c>
      <c r="D42" s="80">
        <v>12.4</v>
      </c>
      <c r="E42" s="80" t="s">
        <v>796</v>
      </c>
      <c r="F42" s="82">
        <v>80</v>
      </c>
      <c r="G42" s="82" t="s">
        <v>797</v>
      </c>
      <c r="H42" s="82" t="s">
        <v>796</v>
      </c>
      <c r="I42" s="86">
        <v>151</v>
      </c>
      <c r="J42" s="80">
        <v>78.8</v>
      </c>
      <c r="K42" s="80">
        <v>12</v>
      </c>
      <c r="L42" s="80" t="s">
        <v>798</v>
      </c>
      <c r="M42" s="82">
        <v>78</v>
      </c>
      <c r="N42" s="82" t="s">
        <v>799</v>
      </c>
      <c r="O42" s="86"/>
      <c r="P42" s="96">
        <v>0.1473</v>
      </c>
      <c r="Q42" s="21">
        <v>0.211792890869824</v>
      </c>
      <c r="R42" s="21">
        <v>0.193365018749445</v>
      </c>
      <c r="S42" s="15"/>
      <c r="X42" s="2" t="s">
        <v>795</v>
      </c>
      <c r="Y42" s="81" t="str">
        <f t="shared" si="0"/>
        <v>80 (72; 89.8)</v>
      </c>
      <c r="Z42" s="81" t="str">
        <f t="shared" si="1"/>
        <v>78 (69; 86)</v>
      </c>
      <c r="AA42" s="21">
        <v>0.211792890869824</v>
      </c>
      <c r="AB42" s="21">
        <v>0.193365018749445</v>
      </c>
    </row>
    <row r="43" spans="1:28">
      <c r="A43" s="2" t="s">
        <v>449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86"/>
      <c r="Q43" s="102"/>
      <c r="R43" s="102"/>
      <c r="S43" s="102"/>
      <c r="X43" s="2" t="s">
        <v>449</v>
      </c>
      <c r="Y43" s="81"/>
      <c r="Z43" s="81"/>
      <c r="AA43" s="102"/>
      <c r="AB43" s="102"/>
    </row>
    <row r="44" spans="1:28">
      <c r="A44" s="4" t="s">
        <v>450</v>
      </c>
      <c r="B44" s="80">
        <v>160</v>
      </c>
      <c r="C44" s="80">
        <v>1941</v>
      </c>
      <c r="D44" s="80">
        <v>230</v>
      </c>
      <c r="E44" s="80" t="s">
        <v>800</v>
      </c>
      <c r="F44" s="82">
        <v>1908</v>
      </c>
      <c r="G44" s="82" t="s">
        <v>801</v>
      </c>
      <c r="H44" s="82" t="s">
        <v>800</v>
      </c>
      <c r="I44" s="86">
        <v>151</v>
      </c>
      <c r="J44" s="80">
        <v>1973</v>
      </c>
      <c r="K44" s="80">
        <v>231</v>
      </c>
      <c r="L44" s="80" t="s">
        <v>802</v>
      </c>
      <c r="M44" s="82">
        <v>1957</v>
      </c>
      <c r="N44" s="82" t="s">
        <v>803</v>
      </c>
      <c r="O44" s="86"/>
      <c r="P44" s="96">
        <v>0.2109</v>
      </c>
      <c r="R44" s="15"/>
      <c r="S44" s="15"/>
      <c r="X44" s="4" t="s">
        <v>450</v>
      </c>
      <c r="Y44" s="81" t="str">
        <f t="shared" si="0"/>
        <v>1908 (1742; 2132)</v>
      </c>
      <c r="Z44" s="81" t="str">
        <f t="shared" si="1"/>
        <v>1957 (1764; 2175)</v>
      </c>
      <c r="AB44" s="15"/>
    </row>
    <row r="45" spans="1:28">
      <c r="A45" s="4" t="s">
        <v>457</v>
      </c>
      <c r="B45" s="80">
        <v>160</v>
      </c>
      <c r="C45" s="80">
        <v>16.4</v>
      </c>
      <c r="D45" s="80">
        <v>4.01</v>
      </c>
      <c r="E45" s="80" t="s">
        <v>804</v>
      </c>
      <c r="F45" s="82">
        <v>16.2</v>
      </c>
      <c r="G45" s="82" t="s">
        <v>805</v>
      </c>
      <c r="H45" s="82" t="s">
        <v>804</v>
      </c>
      <c r="I45" s="86">
        <v>151</v>
      </c>
      <c r="J45" s="80">
        <v>19.3</v>
      </c>
      <c r="K45" s="80">
        <v>4.5</v>
      </c>
      <c r="L45" s="80" t="s">
        <v>806</v>
      </c>
      <c r="M45" s="82">
        <v>18.7</v>
      </c>
      <c r="N45" s="82" t="s">
        <v>807</v>
      </c>
      <c r="O45" s="86"/>
      <c r="P45" s="98" t="s">
        <v>243</v>
      </c>
      <c r="Q45" s="98" t="s">
        <v>243</v>
      </c>
      <c r="R45" s="98" t="s">
        <v>243</v>
      </c>
      <c r="S45" s="102"/>
      <c r="X45" s="4" t="s">
        <v>457</v>
      </c>
      <c r="Y45" s="81" t="str">
        <f t="shared" si="0"/>
        <v>16,2 (13.7; 18.4)</v>
      </c>
      <c r="Z45" s="81" t="str">
        <f t="shared" si="1"/>
        <v>18,7 (16.6; 22)</v>
      </c>
      <c r="AA45" s="98" t="s">
        <v>243</v>
      </c>
      <c r="AB45" s="98" t="s">
        <v>243</v>
      </c>
    </row>
    <row r="46" spans="1:28">
      <c r="A46" s="4" t="s">
        <v>464</v>
      </c>
      <c r="B46" s="80">
        <v>160</v>
      </c>
      <c r="C46" s="80">
        <v>609</v>
      </c>
      <c r="D46" s="80">
        <v>216</v>
      </c>
      <c r="E46" s="80" t="s">
        <v>808</v>
      </c>
      <c r="F46" s="82">
        <v>591</v>
      </c>
      <c r="G46" s="82" t="s">
        <v>809</v>
      </c>
      <c r="H46" s="82" t="s">
        <v>808</v>
      </c>
      <c r="I46" s="86">
        <v>151</v>
      </c>
      <c r="J46" s="80">
        <v>658</v>
      </c>
      <c r="K46" s="80">
        <v>216</v>
      </c>
      <c r="L46" s="80" t="s">
        <v>810</v>
      </c>
      <c r="M46" s="82">
        <v>651</v>
      </c>
      <c r="N46" s="82" t="s">
        <v>811</v>
      </c>
      <c r="O46" s="86"/>
      <c r="P46" s="96">
        <v>0.0359</v>
      </c>
      <c r="Q46" s="21">
        <v>0.0823041379697228</v>
      </c>
      <c r="R46" s="21">
        <v>0.0282678018963926</v>
      </c>
      <c r="S46" s="102"/>
      <c r="X46" s="4" t="s">
        <v>464</v>
      </c>
      <c r="Y46" s="81" t="str">
        <f t="shared" si="0"/>
        <v>591 (438; 748)</v>
      </c>
      <c r="Z46" s="81" t="str">
        <f t="shared" si="1"/>
        <v>651 (499; 801)</v>
      </c>
      <c r="AA46" s="21">
        <v>0.0823041379697228</v>
      </c>
      <c r="AB46" s="21">
        <v>0.0282678018963926</v>
      </c>
    </row>
    <row r="47" spans="1:28">
      <c r="A47" s="4" t="s">
        <v>471</v>
      </c>
      <c r="B47" s="80">
        <v>160</v>
      </c>
      <c r="C47" s="80">
        <v>1014</v>
      </c>
      <c r="D47" s="80">
        <v>188</v>
      </c>
      <c r="E47" s="80" t="s">
        <v>812</v>
      </c>
      <c r="F47" s="81">
        <v>989</v>
      </c>
      <c r="G47" s="86" t="s">
        <v>813</v>
      </c>
      <c r="H47" s="86" t="s">
        <v>812</v>
      </c>
      <c r="I47" s="86">
        <v>151</v>
      </c>
      <c r="J47" s="80">
        <v>1058</v>
      </c>
      <c r="K47" s="80">
        <v>160</v>
      </c>
      <c r="L47" s="80" t="s">
        <v>814</v>
      </c>
      <c r="M47" s="81">
        <v>1059</v>
      </c>
      <c r="N47" s="86" t="s">
        <v>815</v>
      </c>
      <c r="O47" s="86"/>
      <c r="P47" s="96">
        <v>0.0233</v>
      </c>
      <c r="Q47" s="21">
        <v>0.045417491699107</v>
      </c>
      <c r="R47" s="21">
        <v>0.0228924574765654</v>
      </c>
      <c r="S47" s="15"/>
      <c r="X47" s="4" t="s">
        <v>471</v>
      </c>
      <c r="Y47" s="81" t="str">
        <f t="shared" si="0"/>
        <v>989 (892; 1140)</v>
      </c>
      <c r="Z47" s="81" t="str">
        <f t="shared" si="1"/>
        <v>1059 (940; 1159)</v>
      </c>
      <c r="AA47" s="21">
        <v>0.045417491699107</v>
      </c>
      <c r="AB47" s="21">
        <v>0.0228924574765654</v>
      </c>
    </row>
    <row r="48" spans="1:28">
      <c r="A48" s="4" t="s">
        <v>478</v>
      </c>
      <c r="B48" s="80">
        <v>160</v>
      </c>
      <c r="C48" s="80">
        <v>13.2</v>
      </c>
      <c r="D48" s="80">
        <v>1.67</v>
      </c>
      <c r="E48" s="80" t="s">
        <v>816</v>
      </c>
      <c r="F48" s="81">
        <v>13.1</v>
      </c>
      <c r="G48" s="86" t="s">
        <v>817</v>
      </c>
      <c r="H48" s="86" t="s">
        <v>816</v>
      </c>
      <c r="I48" s="86">
        <v>151</v>
      </c>
      <c r="J48" s="80">
        <v>13.8</v>
      </c>
      <c r="K48" s="80">
        <v>1.62</v>
      </c>
      <c r="L48" s="80" t="s">
        <v>818</v>
      </c>
      <c r="M48" s="81">
        <v>13.8</v>
      </c>
      <c r="N48" s="86" t="s">
        <v>819</v>
      </c>
      <c r="O48" s="86"/>
      <c r="P48" s="96">
        <v>0.0007</v>
      </c>
      <c r="Q48" s="21">
        <v>0.00418918237210021</v>
      </c>
      <c r="R48" s="21">
        <v>0.0228924574765654</v>
      </c>
      <c r="S48" s="102"/>
      <c r="T48" s="103"/>
      <c r="U48" s="103" t="s">
        <v>292</v>
      </c>
      <c r="V48" s="103" t="s">
        <v>820</v>
      </c>
      <c r="X48" s="4" t="s">
        <v>478</v>
      </c>
      <c r="Y48" s="81" t="str">
        <f t="shared" si="0"/>
        <v>13,1 (11.9; 14.4)</v>
      </c>
      <c r="Z48" s="81" t="str">
        <f t="shared" si="1"/>
        <v>13,8 (12.7; 14.8)</v>
      </c>
      <c r="AA48" s="21">
        <v>0.00418918237210021</v>
      </c>
      <c r="AB48" s="21">
        <v>0.0228924574765654</v>
      </c>
    </row>
    <row r="49" spans="1:28">
      <c r="A49" s="4" t="s">
        <v>485</v>
      </c>
      <c r="B49" s="80">
        <v>160</v>
      </c>
      <c r="C49" s="80">
        <v>1301</v>
      </c>
      <c r="D49" s="80">
        <v>314</v>
      </c>
      <c r="E49" s="80" t="s">
        <v>821</v>
      </c>
      <c r="F49" s="81">
        <v>1269</v>
      </c>
      <c r="G49" s="86" t="s">
        <v>822</v>
      </c>
      <c r="H49" s="86" t="s">
        <v>821</v>
      </c>
      <c r="I49" s="86">
        <v>151</v>
      </c>
      <c r="J49" s="80">
        <v>1269</v>
      </c>
      <c r="K49" s="80">
        <v>294</v>
      </c>
      <c r="L49" s="80" t="s">
        <v>823</v>
      </c>
      <c r="M49" s="81">
        <v>1269</v>
      </c>
      <c r="N49" s="86" t="s">
        <v>824</v>
      </c>
      <c r="O49" s="86"/>
      <c r="P49" s="96">
        <v>0.4036</v>
      </c>
      <c r="Q49" s="21">
        <v>0.559936578622664</v>
      </c>
      <c r="R49" s="21">
        <v>0.901834975976462</v>
      </c>
      <c r="S49" s="102"/>
      <c r="T49" s="106" t="s">
        <v>302</v>
      </c>
      <c r="U49" s="107">
        <v>151</v>
      </c>
      <c r="V49" s="107">
        <v>160</v>
      </c>
      <c r="X49" s="4" t="s">
        <v>485</v>
      </c>
      <c r="Y49" s="81" t="str">
        <f t="shared" si="0"/>
        <v>1269 (1130; 1524)</v>
      </c>
      <c r="Z49" s="81" t="str">
        <f t="shared" si="1"/>
        <v>1269 (1061; 1471)</v>
      </c>
      <c r="AA49" s="21">
        <v>0.559936578622664</v>
      </c>
      <c r="AB49" s="21">
        <v>0.901834975976462</v>
      </c>
    </row>
    <row r="50" spans="1:28">
      <c r="A50" s="4" t="s">
        <v>492</v>
      </c>
      <c r="B50" s="80">
        <v>160</v>
      </c>
      <c r="C50" s="80">
        <v>2915</v>
      </c>
      <c r="D50" s="80">
        <v>637</v>
      </c>
      <c r="E50" s="80" t="s">
        <v>825</v>
      </c>
      <c r="F50" s="81">
        <v>2862</v>
      </c>
      <c r="G50" s="86" t="s">
        <v>826</v>
      </c>
      <c r="H50" s="86" t="s">
        <v>825</v>
      </c>
      <c r="I50" s="86">
        <v>151</v>
      </c>
      <c r="J50" s="80">
        <v>3253</v>
      </c>
      <c r="K50" s="80">
        <v>629</v>
      </c>
      <c r="L50" s="80" t="s">
        <v>827</v>
      </c>
      <c r="M50" s="81">
        <v>3177</v>
      </c>
      <c r="N50" s="86" t="s">
        <v>828</v>
      </c>
      <c r="O50" s="86"/>
      <c r="P50" s="98" t="s">
        <v>243</v>
      </c>
      <c r="Q50" s="98" t="s">
        <v>243</v>
      </c>
      <c r="R50" s="98" t="s">
        <v>243</v>
      </c>
      <c r="S50" s="15"/>
      <c r="T50" s="106"/>
      <c r="U50" s="107"/>
      <c r="V50" s="107"/>
      <c r="X50" s="4" t="s">
        <v>492</v>
      </c>
      <c r="Y50" s="81" t="str">
        <f t="shared" si="0"/>
        <v>2862 (2498; 3306)</v>
      </c>
      <c r="Z50" s="81" t="str">
        <f t="shared" si="1"/>
        <v>3177 (2762; 3667)</v>
      </c>
      <c r="AA50" s="98" t="s">
        <v>243</v>
      </c>
      <c r="AB50" s="98" t="s">
        <v>243</v>
      </c>
    </row>
    <row r="51" spans="1:28">
      <c r="A51" s="4" t="s">
        <v>499</v>
      </c>
      <c r="B51" s="80">
        <v>160</v>
      </c>
      <c r="C51" s="80">
        <v>229</v>
      </c>
      <c r="D51" s="80">
        <v>38.4</v>
      </c>
      <c r="E51" s="80" t="s">
        <v>829</v>
      </c>
      <c r="F51" s="81">
        <v>227</v>
      </c>
      <c r="G51" s="86" t="s">
        <v>830</v>
      </c>
      <c r="H51" s="86" t="s">
        <v>829</v>
      </c>
      <c r="I51" s="86">
        <v>151</v>
      </c>
      <c r="J51" s="80">
        <v>257</v>
      </c>
      <c r="K51" s="80">
        <v>44</v>
      </c>
      <c r="L51" s="80" t="s">
        <v>831</v>
      </c>
      <c r="M51" s="81">
        <v>249</v>
      </c>
      <c r="N51" s="86" t="s">
        <v>832</v>
      </c>
      <c r="O51" s="86"/>
      <c r="P51" s="98" t="s">
        <v>243</v>
      </c>
      <c r="Q51" s="98" t="s">
        <v>243</v>
      </c>
      <c r="R51" s="98" t="s">
        <v>243</v>
      </c>
      <c r="S51" s="15"/>
      <c r="T51" s="106" t="s">
        <v>317</v>
      </c>
      <c r="U51" s="107">
        <v>23.5</v>
      </c>
      <c r="V51" s="107">
        <v>24.4</v>
      </c>
      <c r="X51" s="4" t="s">
        <v>499</v>
      </c>
      <c r="Y51" s="81" t="str">
        <f t="shared" si="0"/>
        <v>227 (202; 254)</v>
      </c>
      <c r="Z51" s="81" t="str">
        <f t="shared" si="1"/>
        <v>249 (231; 280)</v>
      </c>
      <c r="AA51" s="98" t="s">
        <v>243</v>
      </c>
      <c r="AB51" s="98" t="s">
        <v>243</v>
      </c>
    </row>
    <row r="52" spans="1:28">
      <c r="A52" s="4" t="s">
        <v>506</v>
      </c>
      <c r="B52" s="80">
        <v>160</v>
      </c>
      <c r="C52" s="80">
        <v>10.4</v>
      </c>
      <c r="D52" s="80">
        <v>0.61</v>
      </c>
      <c r="E52" s="80" t="s">
        <v>833</v>
      </c>
      <c r="F52" s="81">
        <v>10.4</v>
      </c>
      <c r="G52" s="86" t="s">
        <v>834</v>
      </c>
      <c r="H52" s="86" t="s">
        <v>833</v>
      </c>
      <c r="I52" s="86">
        <v>151</v>
      </c>
      <c r="J52" s="80">
        <v>10.5</v>
      </c>
      <c r="K52" s="80">
        <v>0.626</v>
      </c>
      <c r="L52" s="80" t="s">
        <v>835</v>
      </c>
      <c r="M52" s="81">
        <v>10.4</v>
      </c>
      <c r="N52" s="86" t="s">
        <v>836</v>
      </c>
      <c r="O52" s="86"/>
      <c r="P52" s="96">
        <v>0.3475</v>
      </c>
      <c r="Q52" s="21">
        <v>0.266492376693653</v>
      </c>
      <c r="R52" s="21">
        <v>0.419775061057706</v>
      </c>
      <c r="S52" s="15"/>
      <c r="T52" s="106" t="s">
        <v>0</v>
      </c>
      <c r="U52" s="107">
        <v>26.2</v>
      </c>
      <c r="V52" s="107">
        <v>28</v>
      </c>
      <c r="X52" s="4" t="s">
        <v>506</v>
      </c>
      <c r="Y52" s="81" t="str">
        <f t="shared" si="0"/>
        <v>10,4 (10; 10.8)</v>
      </c>
      <c r="Z52" s="81" t="str">
        <f t="shared" si="1"/>
        <v>10,4 (10; 10.9)</v>
      </c>
      <c r="AA52" s="21">
        <v>0.266492376693653</v>
      </c>
      <c r="AB52" s="21">
        <v>0.419775061057706</v>
      </c>
    </row>
    <row r="53" spans="1:28">
      <c r="A53" s="4" t="s">
        <v>513</v>
      </c>
      <c r="B53" s="80">
        <v>160</v>
      </c>
      <c r="C53" s="80">
        <v>1.52</v>
      </c>
      <c r="D53" s="80">
        <v>0.759</v>
      </c>
      <c r="E53" s="80" t="s">
        <v>837</v>
      </c>
      <c r="F53" s="81">
        <v>1.34</v>
      </c>
      <c r="G53" s="86" t="s">
        <v>838</v>
      </c>
      <c r="H53" s="86" t="s">
        <v>837</v>
      </c>
      <c r="I53" s="86">
        <v>151</v>
      </c>
      <c r="J53" s="80">
        <v>1.83</v>
      </c>
      <c r="K53" s="80">
        <v>0.892</v>
      </c>
      <c r="L53" s="80" t="s">
        <v>839</v>
      </c>
      <c r="M53" s="81">
        <v>1.56</v>
      </c>
      <c r="N53" s="86" t="s">
        <v>840</v>
      </c>
      <c r="O53" s="86"/>
      <c r="P53" s="98" t="s">
        <v>243</v>
      </c>
      <c r="Q53" s="98" t="s">
        <v>243</v>
      </c>
      <c r="R53" s="21">
        <v>0.00244333731524095</v>
      </c>
      <c r="S53" s="15"/>
      <c r="T53" s="106" t="s">
        <v>331</v>
      </c>
      <c r="U53" s="107">
        <v>29.3</v>
      </c>
      <c r="V53" s="107">
        <v>31.6</v>
      </c>
      <c r="X53" s="4" t="s">
        <v>513</v>
      </c>
      <c r="Y53" s="81" t="str">
        <f t="shared" si="0"/>
        <v>1,34 (1.09; 1.65)</v>
      </c>
      <c r="Z53" s="81" t="str">
        <f t="shared" si="1"/>
        <v>1,56 (1.34; 2.07)</v>
      </c>
      <c r="AA53" s="98" t="s">
        <v>243</v>
      </c>
      <c r="AB53" s="21">
        <v>0.00244333731524095</v>
      </c>
    </row>
    <row r="54" spans="1:28">
      <c r="A54" s="4" t="s">
        <v>520</v>
      </c>
      <c r="B54" s="80">
        <v>160</v>
      </c>
      <c r="C54" s="80">
        <v>3.07</v>
      </c>
      <c r="D54" s="80">
        <v>0.432</v>
      </c>
      <c r="E54" s="80" t="s">
        <v>841</v>
      </c>
      <c r="F54" s="81">
        <v>3.06</v>
      </c>
      <c r="G54" s="86" t="s">
        <v>842</v>
      </c>
      <c r="H54" s="86" t="s">
        <v>841</v>
      </c>
      <c r="I54" s="86">
        <v>151</v>
      </c>
      <c r="J54" s="80">
        <v>3.25</v>
      </c>
      <c r="K54" s="80">
        <v>0.513</v>
      </c>
      <c r="L54" s="80" t="s">
        <v>843</v>
      </c>
      <c r="M54" s="81">
        <v>3.17</v>
      </c>
      <c r="N54" s="86" t="s">
        <v>844</v>
      </c>
      <c r="O54" s="86"/>
      <c r="P54" s="96">
        <v>0.005</v>
      </c>
      <c r="Q54" s="21">
        <v>0.00703168732478656</v>
      </c>
      <c r="R54" s="21">
        <v>0.00716409441996873</v>
      </c>
      <c r="S54" s="15"/>
      <c r="T54" s="106"/>
      <c r="U54" s="107"/>
      <c r="V54" s="107"/>
      <c r="X54" s="4" t="s">
        <v>520</v>
      </c>
      <c r="Y54" s="81" t="str">
        <f t="shared" si="0"/>
        <v>3,06 (2.76; 3.35)</v>
      </c>
      <c r="Z54" s="81" t="str">
        <f t="shared" si="1"/>
        <v>3,17 (2.91; 3.51)</v>
      </c>
      <c r="AA54" s="21">
        <v>0.00703168732478656</v>
      </c>
      <c r="AB54" s="21">
        <v>0.00716409441996873</v>
      </c>
    </row>
    <row r="55" spans="1:28">
      <c r="A55" s="4" t="s">
        <v>527</v>
      </c>
      <c r="B55" s="80">
        <v>160</v>
      </c>
      <c r="C55" s="80">
        <v>796</v>
      </c>
      <c r="D55" s="80">
        <v>163</v>
      </c>
      <c r="E55" s="80" t="s">
        <v>845</v>
      </c>
      <c r="F55" s="81">
        <v>780</v>
      </c>
      <c r="G55" s="86" t="s">
        <v>846</v>
      </c>
      <c r="H55" s="86" t="s">
        <v>845</v>
      </c>
      <c r="I55" s="86">
        <v>151</v>
      </c>
      <c r="J55" s="80">
        <v>834</v>
      </c>
      <c r="K55" s="80">
        <v>180</v>
      </c>
      <c r="L55" s="80" t="s">
        <v>847</v>
      </c>
      <c r="M55" s="81">
        <v>804</v>
      </c>
      <c r="N55" s="86" t="s">
        <v>848</v>
      </c>
      <c r="O55" s="86"/>
      <c r="P55" s="96">
        <v>0.1024</v>
      </c>
      <c r="Q55" s="21">
        <v>0.0984426532586718</v>
      </c>
      <c r="R55" s="21">
        <v>0.141721697746381</v>
      </c>
      <c r="S55" s="15"/>
      <c r="T55" s="106" t="s">
        <v>346</v>
      </c>
      <c r="U55" s="107"/>
      <c r="V55" s="107"/>
      <c r="X55" s="4" t="s">
        <v>527</v>
      </c>
      <c r="Y55" s="81" t="str">
        <f t="shared" si="0"/>
        <v>780 (698; 902)</v>
      </c>
      <c r="Z55" s="81" t="str">
        <f t="shared" si="1"/>
        <v>804 (700; 946)</v>
      </c>
      <c r="AA55" s="21">
        <v>0.0984426532586718</v>
      </c>
      <c r="AB55" s="21">
        <v>0.141721697746381</v>
      </c>
    </row>
    <row r="56" spans="1:28">
      <c r="A56" s="4" t="s">
        <v>534</v>
      </c>
      <c r="B56" s="80">
        <v>160</v>
      </c>
      <c r="C56" s="80">
        <v>1.12</v>
      </c>
      <c r="D56" s="80">
        <v>0.292</v>
      </c>
      <c r="E56" s="80" t="s">
        <v>849</v>
      </c>
      <c r="F56" s="81">
        <v>1.09</v>
      </c>
      <c r="G56" s="86" t="s">
        <v>850</v>
      </c>
      <c r="H56" s="86" t="s">
        <v>849</v>
      </c>
      <c r="I56" s="86">
        <v>151</v>
      </c>
      <c r="J56" s="80">
        <v>1.2</v>
      </c>
      <c r="K56" s="80">
        <v>0.517</v>
      </c>
      <c r="L56" s="80" t="s">
        <v>540</v>
      </c>
      <c r="M56" s="81">
        <v>1.1</v>
      </c>
      <c r="N56" s="86" t="s">
        <v>851</v>
      </c>
      <c r="O56" s="86"/>
      <c r="P56" s="96">
        <v>0.1449</v>
      </c>
      <c r="Q56" s="21">
        <v>0.0984426532586718</v>
      </c>
      <c r="R56" s="21">
        <v>0.139865211531486</v>
      </c>
      <c r="S56" s="102"/>
      <c r="T56" s="106" t="s">
        <v>354</v>
      </c>
      <c r="U56" s="107" t="s">
        <v>852</v>
      </c>
      <c r="V56" s="107" t="s">
        <v>853</v>
      </c>
      <c r="X56" s="4" t="s">
        <v>534</v>
      </c>
      <c r="Y56" s="81" t="str">
        <f t="shared" si="0"/>
        <v>1,09 (0.902; 1.29)</v>
      </c>
      <c r="Z56" s="81" t="str">
        <f t="shared" si="1"/>
        <v>1,1 (0.957; 1.35)</v>
      </c>
      <c r="AA56" s="21">
        <v>0.0984426532586718</v>
      </c>
      <c r="AB56" s="21">
        <v>0.139865211531486</v>
      </c>
    </row>
    <row r="57" spans="1:28">
      <c r="A57" s="4" t="s">
        <v>541</v>
      </c>
      <c r="B57" s="80">
        <v>160</v>
      </c>
      <c r="C57" s="80">
        <v>1.71</v>
      </c>
      <c r="D57" s="80">
        <v>0.433</v>
      </c>
      <c r="E57" s="80" t="s">
        <v>854</v>
      </c>
      <c r="F57" s="81">
        <v>1.65</v>
      </c>
      <c r="G57" s="86" t="s">
        <v>855</v>
      </c>
      <c r="H57" s="86" t="s">
        <v>854</v>
      </c>
      <c r="I57" s="86">
        <v>151</v>
      </c>
      <c r="J57" s="80">
        <v>1.85</v>
      </c>
      <c r="K57" s="80">
        <v>0.679</v>
      </c>
      <c r="L57" s="80" t="s">
        <v>856</v>
      </c>
      <c r="M57" s="81">
        <v>1.7</v>
      </c>
      <c r="N57" s="86" t="s">
        <v>857</v>
      </c>
      <c r="O57" s="86"/>
      <c r="P57" s="96">
        <v>0.0588</v>
      </c>
      <c r="Q57" s="21">
        <v>0.0480607614956682</v>
      </c>
      <c r="R57" s="21">
        <v>0.0759926164576054</v>
      </c>
      <c r="S57" s="15"/>
      <c r="T57" s="106" t="s">
        <v>364</v>
      </c>
      <c r="U57" s="107">
        <v>25.3</v>
      </c>
      <c r="V57" s="107">
        <v>26.8</v>
      </c>
      <c r="X57" s="4" t="s">
        <v>541</v>
      </c>
      <c r="Y57" s="81" t="str">
        <f t="shared" si="0"/>
        <v>1,65 (1.39; 1.99)</v>
      </c>
      <c r="Z57" s="81" t="str">
        <f t="shared" si="1"/>
        <v>1,7 (1.48; 2.04)</v>
      </c>
      <c r="AA57" s="21">
        <v>0.0480607614956682</v>
      </c>
      <c r="AB57" s="21">
        <v>0.0759926164576054</v>
      </c>
    </row>
    <row r="58" spans="1:28">
      <c r="A58" s="4" t="s">
        <v>548</v>
      </c>
      <c r="B58" s="80">
        <v>160</v>
      </c>
      <c r="C58" s="80">
        <v>16.5</v>
      </c>
      <c r="D58" s="80">
        <v>4.37</v>
      </c>
      <c r="E58" s="80" t="s">
        <v>858</v>
      </c>
      <c r="F58" s="81">
        <v>15.6</v>
      </c>
      <c r="G58" s="86" t="s">
        <v>859</v>
      </c>
      <c r="H58" s="86" t="s">
        <v>858</v>
      </c>
      <c r="I58" s="86">
        <v>151</v>
      </c>
      <c r="J58" s="80">
        <v>16.8</v>
      </c>
      <c r="K58" s="80">
        <v>6.34</v>
      </c>
      <c r="L58" s="80" t="s">
        <v>860</v>
      </c>
      <c r="M58" s="81">
        <v>15.6</v>
      </c>
      <c r="N58" s="86" t="s">
        <v>861</v>
      </c>
      <c r="O58" s="86"/>
      <c r="P58" s="96">
        <v>0.994</v>
      </c>
      <c r="Q58" s="21">
        <v>0.766718990516337</v>
      </c>
      <c r="R58" s="21">
        <v>0.966845163752535</v>
      </c>
      <c r="S58" s="102"/>
      <c r="T58" s="106" t="s">
        <v>372</v>
      </c>
      <c r="U58" s="107">
        <v>27.1</v>
      </c>
      <c r="V58" s="107">
        <v>28.5</v>
      </c>
      <c r="X58" s="4" t="s">
        <v>548</v>
      </c>
      <c r="Y58" s="81" t="str">
        <f t="shared" si="0"/>
        <v>15,6 (13.5; 19.1)</v>
      </c>
      <c r="Z58" s="81" t="str">
        <f t="shared" si="1"/>
        <v>15,6 (13.6; 18.5)</v>
      </c>
      <c r="AA58" s="21">
        <v>0.766718990516337</v>
      </c>
      <c r="AB58" s="21">
        <v>0.966845163752535</v>
      </c>
    </row>
    <row r="59" spans="1:28">
      <c r="A59" s="4" t="s">
        <v>555</v>
      </c>
      <c r="B59" s="80">
        <v>160</v>
      </c>
      <c r="C59" s="80">
        <v>4.91</v>
      </c>
      <c r="D59" s="80">
        <v>1.07</v>
      </c>
      <c r="E59" s="80" t="s">
        <v>862</v>
      </c>
      <c r="F59" s="81">
        <v>4.73</v>
      </c>
      <c r="G59" s="86" t="s">
        <v>863</v>
      </c>
      <c r="H59" s="86" t="s">
        <v>862</v>
      </c>
      <c r="I59" s="86">
        <v>151</v>
      </c>
      <c r="J59" s="80">
        <v>5.22</v>
      </c>
      <c r="K59" s="80">
        <v>1.67</v>
      </c>
      <c r="L59" s="80" t="s">
        <v>864</v>
      </c>
      <c r="M59" s="81">
        <v>4.91</v>
      </c>
      <c r="N59" s="86" t="s">
        <v>865</v>
      </c>
      <c r="O59" s="86"/>
      <c r="P59" s="96">
        <v>0.0219</v>
      </c>
      <c r="Q59" s="21">
        <v>0.0480607614956682</v>
      </c>
      <c r="R59" s="21">
        <v>0.0766474856832004</v>
      </c>
      <c r="T59" s="106"/>
      <c r="U59" s="107"/>
      <c r="V59" s="107"/>
      <c r="X59" s="4" t="s">
        <v>555</v>
      </c>
      <c r="Y59" s="81" t="str">
        <f t="shared" si="0"/>
        <v>4,73 (4.27; 5.29)</v>
      </c>
      <c r="Z59" s="81" t="str">
        <f t="shared" si="1"/>
        <v>4,91 (4.5; 5.44)</v>
      </c>
      <c r="AA59" s="21">
        <v>0.0480607614956682</v>
      </c>
      <c r="AB59" s="21">
        <v>0.0766474856832004</v>
      </c>
    </row>
    <row r="60" spans="1:28">
      <c r="A60" s="4" t="s">
        <v>562</v>
      </c>
      <c r="B60" s="80">
        <v>160</v>
      </c>
      <c r="C60" s="80">
        <v>1.5</v>
      </c>
      <c r="D60" s="80">
        <v>0.546</v>
      </c>
      <c r="E60" s="80" t="s">
        <v>866</v>
      </c>
      <c r="F60" s="81">
        <v>1.43</v>
      </c>
      <c r="G60" s="86" t="s">
        <v>867</v>
      </c>
      <c r="H60" s="86" t="s">
        <v>866</v>
      </c>
      <c r="I60" s="86">
        <v>151</v>
      </c>
      <c r="J60" s="80">
        <v>1.56</v>
      </c>
      <c r="K60" s="80">
        <v>0.751</v>
      </c>
      <c r="L60" s="80" t="s">
        <v>868</v>
      </c>
      <c r="M60" s="81">
        <v>1.4</v>
      </c>
      <c r="N60" s="86" t="s">
        <v>867</v>
      </c>
      <c r="O60" s="86"/>
      <c r="P60" s="96">
        <v>0.9713</v>
      </c>
      <c r="Q60" s="21">
        <v>0.820851207143079</v>
      </c>
      <c r="R60" s="21">
        <v>0.472831666951719</v>
      </c>
      <c r="S60" s="15"/>
      <c r="T60" s="106" t="s">
        <v>102</v>
      </c>
      <c r="U60" s="107">
        <v>26.8</v>
      </c>
      <c r="V60" s="107">
        <v>28.3</v>
      </c>
      <c r="X60" s="4" t="s">
        <v>562</v>
      </c>
      <c r="Y60" s="81" t="str">
        <f t="shared" si="0"/>
        <v>1,43 (1.07; 1.8)</v>
      </c>
      <c r="Z60" s="81" t="str">
        <f t="shared" si="1"/>
        <v>1,4 (1.07; 1.8)</v>
      </c>
      <c r="AA60" s="21">
        <v>0.820851207143079</v>
      </c>
      <c r="AB60" s="21">
        <v>0.472831666951719</v>
      </c>
    </row>
    <row r="61" spans="1:28">
      <c r="A61" s="4" t="s">
        <v>569</v>
      </c>
      <c r="B61" s="80">
        <v>160</v>
      </c>
      <c r="C61" s="80">
        <v>342</v>
      </c>
      <c r="D61" s="80">
        <v>63.6</v>
      </c>
      <c r="E61" s="80" t="s">
        <v>869</v>
      </c>
      <c r="F61" s="81">
        <v>337</v>
      </c>
      <c r="G61" s="86" t="s">
        <v>870</v>
      </c>
      <c r="H61" s="86" t="s">
        <v>869</v>
      </c>
      <c r="I61" s="86">
        <v>151</v>
      </c>
      <c r="J61" s="80">
        <v>365</v>
      </c>
      <c r="K61" s="80">
        <v>57.1</v>
      </c>
      <c r="L61" s="80" t="s">
        <v>871</v>
      </c>
      <c r="M61" s="81">
        <v>358</v>
      </c>
      <c r="N61" s="86" t="s">
        <v>872</v>
      </c>
      <c r="O61" s="86"/>
      <c r="P61" s="96">
        <v>0.0005</v>
      </c>
      <c r="Q61" s="21">
        <v>0.0028257278662247</v>
      </c>
      <c r="R61" s="21">
        <v>0.00716409441996873</v>
      </c>
      <c r="S61" s="15"/>
      <c r="T61" s="106" t="s">
        <v>393</v>
      </c>
      <c r="U61" s="107">
        <v>4.3</v>
      </c>
      <c r="V61" s="107">
        <v>5</v>
      </c>
      <c r="X61" s="4" t="s">
        <v>569</v>
      </c>
      <c r="Y61" s="81" t="str">
        <f t="shared" si="0"/>
        <v>337 (301; 381)</v>
      </c>
      <c r="Z61" s="81" t="str">
        <f t="shared" si="1"/>
        <v>358 (321; 401)</v>
      </c>
      <c r="AA61" s="21">
        <v>0.0028257278662247</v>
      </c>
      <c r="AB61" s="21">
        <v>0.00716409441996873</v>
      </c>
    </row>
    <row r="62" spans="1:28">
      <c r="A62" s="4" t="s">
        <v>576</v>
      </c>
      <c r="B62" s="80">
        <v>160</v>
      </c>
      <c r="C62" s="80">
        <v>7.19</v>
      </c>
      <c r="D62" s="80">
        <v>0.341</v>
      </c>
      <c r="E62" s="80" t="s">
        <v>873</v>
      </c>
      <c r="F62" s="81">
        <v>7.16</v>
      </c>
      <c r="G62" s="86" t="s">
        <v>874</v>
      </c>
      <c r="H62" s="86" t="s">
        <v>873</v>
      </c>
      <c r="I62" s="86">
        <v>151</v>
      </c>
      <c r="J62" s="80">
        <v>7.17</v>
      </c>
      <c r="K62" s="80">
        <v>0.357</v>
      </c>
      <c r="L62" s="80" t="s">
        <v>875</v>
      </c>
      <c r="M62" s="81">
        <v>7.14</v>
      </c>
      <c r="N62" s="86" t="s">
        <v>876</v>
      </c>
      <c r="O62" s="86"/>
      <c r="P62" s="96">
        <v>0.763</v>
      </c>
      <c r="Q62" s="21">
        <v>0.77540124136149</v>
      </c>
      <c r="R62" s="21">
        <v>0.808071545186417</v>
      </c>
      <c r="S62" s="102"/>
      <c r="T62" s="106" t="s">
        <v>877</v>
      </c>
      <c r="U62" s="107">
        <v>0.35</v>
      </c>
      <c r="V62" s="107">
        <v>0.395</v>
      </c>
      <c r="X62" s="4" t="s">
        <v>576</v>
      </c>
      <c r="Y62" s="81" t="str">
        <f t="shared" si="0"/>
        <v>7,16 (6.97; 7.4)</v>
      </c>
      <c r="Z62" s="81" t="str">
        <f t="shared" si="1"/>
        <v>7,14 (6.96; 7.39)</v>
      </c>
      <c r="AA62" s="21">
        <v>0.77540124136149</v>
      </c>
      <c r="AB62" s="21">
        <v>0.808071545186417</v>
      </c>
    </row>
    <row r="63" spans="1:28">
      <c r="A63" s="4" t="s">
        <v>583</v>
      </c>
      <c r="B63" s="80">
        <v>160</v>
      </c>
      <c r="C63" s="80">
        <v>153</v>
      </c>
      <c r="D63" s="80">
        <v>53.7</v>
      </c>
      <c r="E63" s="80" t="s">
        <v>878</v>
      </c>
      <c r="F63" s="81">
        <v>146</v>
      </c>
      <c r="G63" s="86" t="s">
        <v>879</v>
      </c>
      <c r="H63" s="86" t="s">
        <v>878</v>
      </c>
      <c r="I63" s="86">
        <v>151</v>
      </c>
      <c r="J63" s="80">
        <v>181</v>
      </c>
      <c r="K63" s="80">
        <v>65.2</v>
      </c>
      <c r="L63" s="80" t="s">
        <v>880</v>
      </c>
      <c r="M63" s="81">
        <v>175</v>
      </c>
      <c r="N63" s="86" t="s">
        <v>881</v>
      </c>
      <c r="O63" s="86"/>
      <c r="P63" s="98" t="s">
        <v>243</v>
      </c>
      <c r="Q63" s="21">
        <v>0.00115362790167634</v>
      </c>
      <c r="R63" s="21">
        <v>0.00716409441996873</v>
      </c>
      <c r="S63" s="15"/>
      <c r="T63" s="106"/>
      <c r="U63" s="107"/>
      <c r="V63" s="107"/>
      <c r="X63" s="4" t="s">
        <v>583</v>
      </c>
      <c r="Y63" s="81" t="str">
        <f t="shared" si="0"/>
        <v>146 (110.0; 189.0)</v>
      </c>
      <c r="Z63" s="81" t="str">
        <f t="shared" si="1"/>
        <v>175 (131.0; 220.0)</v>
      </c>
      <c r="AA63" s="21">
        <v>0.00115362790167634</v>
      </c>
      <c r="AB63" s="21">
        <v>0.00716409441996873</v>
      </c>
    </row>
    <row r="64" spans="1:28">
      <c r="A64" s="24" t="s">
        <v>592</v>
      </c>
      <c r="B64" s="80"/>
      <c r="C64" s="80"/>
      <c r="D64" s="80"/>
      <c r="E64" s="80"/>
      <c r="F64" s="81"/>
      <c r="G64" s="86"/>
      <c r="H64" s="86"/>
      <c r="I64" s="86"/>
      <c r="J64" s="80"/>
      <c r="K64" s="80"/>
      <c r="L64" s="80"/>
      <c r="M64" s="81"/>
      <c r="N64" s="86"/>
      <c r="O64" s="86"/>
      <c r="P64" s="96"/>
      <c r="Q64" s="86"/>
      <c r="R64" s="86"/>
      <c r="S64" s="102"/>
      <c r="T64" s="106" t="s">
        <v>882</v>
      </c>
      <c r="U64" s="107">
        <v>26.1</v>
      </c>
      <c r="V64" s="107">
        <v>27.5</v>
      </c>
      <c r="X64" s="24" t="s">
        <v>592</v>
      </c>
      <c r="Y64" s="81"/>
      <c r="Z64" s="81"/>
      <c r="AA64" s="86"/>
      <c r="AB64" s="86"/>
    </row>
    <row r="65" ht="28" spans="1:28">
      <c r="A65" s="7" t="s">
        <v>593</v>
      </c>
      <c r="B65" s="80">
        <v>154</v>
      </c>
      <c r="C65" s="80">
        <v>0.125</v>
      </c>
      <c r="D65" s="80">
        <v>0.14</v>
      </c>
      <c r="E65" s="80" t="s">
        <v>883</v>
      </c>
      <c r="F65" s="96">
        <v>0.0828</v>
      </c>
      <c r="G65" s="86" t="s">
        <v>884</v>
      </c>
      <c r="H65" s="86" t="s">
        <v>883</v>
      </c>
      <c r="I65" s="86">
        <v>144</v>
      </c>
      <c r="J65" s="80">
        <v>0.132</v>
      </c>
      <c r="K65" s="80">
        <v>0.164</v>
      </c>
      <c r="L65" s="80" t="s">
        <v>885</v>
      </c>
      <c r="M65" s="96">
        <v>0.0968</v>
      </c>
      <c r="N65" s="86" t="s">
        <v>886</v>
      </c>
      <c r="O65" s="86"/>
      <c r="P65" s="96">
        <v>0.901</v>
      </c>
      <c r="Q65" s="21">
        <v>0.973484420474654</v>
      </c>
      <c r="R65" s="21">
        <v>0.917285113986299</v>
      </c>
      <c r="S65" s="102"/>
      <c r="T65" s="106" t="s">
        <v>887</v>
      </c>
      <c r="U65" s="107">
        <v>27.5</v>
      </c>
      <c r="V65" s="107">
        <v>29.1</v>
      </c>
      <c r="X65" s="7" t="s">
        <v>593</v>
      </c>
      <c r="Y65" s="81" t="str">
        <f t="shared" si="0"/>
        <v>0,0828 (0.0258; 0.17)</v>
      </c>
      <c r="Z65" s="81" t="str">
        <f t="shared" si="1"/>
        <v>0,0968 (0.0285; 0.147)</v>
      </c>
      <c r="AA65" s="21">
        <v>0.973484420474654</v>
      </c>
      <c r="AB65" s="21">
        <v>0.917285113986299</v>
      </c>
    </row>
    <row r="66" ht="28" spans="1:28">
      <c r="A66" s="7" t="s">
        <v>600</v>
      </c>
      <c r="B66" s="80">
        <v>154</v>
      </c>
      <c r="C66" s="80">
        <v>0.268</v>
      </c>
      <c r="D66" s="80">
        <v>0.176</v>
      </c>
      <c r="E66" s="80" t="s">
        <v>888</v>
      </c>
      <c r="F66" s="96">
        <v>0.23</v>
      </c>
      <c r="G66" s="86" t="s">
        <v>889</v>
      </c>
      <c r="H66" s="86" t="s">
        <v>888</v>
      </c>
      <c r="I66" s="86">
        <v>144</v>
      </c>
      <c r="J66" s="80">
        <v>0.253</v>
      </c>
      <c r="K66" s="80">
        <v>0.172</v>
      </c>
      <c r="L66" s="80" t="s">
        <v>890</v>
      </c>
      <c r="M66" s="96">
        <v>0.209</v>
      </c>
      <c r="N66" s="86" t="s">
        <v>891</v>
      </c>
      <c r="O66" s="86"/>
      <c r="P66" s="96">
        <v>0.4696</v>
      </c>
      <c r="Q66" s="21">
        <v>0.673756616199673</v>
      </c>
      <c r="R66" s="21">
        <v>0.889886125336788</v>
      </c>
      <c r="S66" s="102"/>
      <c r="X66" s="7" t="s">
        <v>600</v>
      </c>
      <c r="Y66" s="81" t="str">
        <f t="shared" si="0"/>
        <v>0,23 (0.129; 0.391)</v>
      </c>
      <c r="Z66" s="81" t="str">
        <f t="shared" si="1"/>
        <v>0,209 (0.118; 0.368)</v>
      </c>
      <c r="AA66" s="21">
        <v>0.673756616199673</v>
      </c>
      <c r="AB66" s="21">
        <v>0.889886125336788</v>
      </c>
    </row>
    <row r="67" ht="28" spans="1:28">
      <c r="A67" s="8" t="s">
        <v>607</v>
      </c>
      <c r="B67" s="80">
        <v>154</v>
      </c>
      <c r="C67" s="80">
        <v>0.173</v>
      </c>
      <c r="D67" s="80">
        <v>0.214</v>
      </c>
      <c r="E67" s="80" t="s">
        <v>892</v>
      </c>
      <c r="F67" s="96">
        <v>0.0767</v>
      </c>
      <c r="G67" s="86" t="s">
        <v>893</v>
      </c>
      <c r="H67" s="86" t="s">
        <v>892</v>
      </c>
      <c r="I67" s="86">
        <v>144</v>
      </c>
      <c r="J67" s="80">
        <v>0.103</v>
      </c>
      <c r="K67" s="80">
        <v>0.139</v>
      </c>
      <c r="L67" s="80" t="s">
        <v>894</v>
      </c>
      <c r="M67" s="96">
        <v>0.0401</v>
      </c>
      <c r="N67" s="86" t="s">
        <v>895</v>
      </c>
      <c r="O67" s="86"/>
      <c r="P67" s="96">
        <v>0.0019</v>
      </c>
      <c r="Q67" s="21">
        <v>0.00986109541319682</v>
      </c>
      <c r="R67" s="21">
        <v>0.0766474856832004</v>
      </c>
      <c r="S67" s="102"/>
      <c r="X67" s="8" t="s">
        <v>607</v>
      </c>
      <c r="Y67" s="81" t="str">
        <f t="shared" si="0"/>
        <v>0,0767 (0.0266; 0.239)</v>
      </c>
      <c r="Z67" s="81" t="str">
        <f t="shared" si="1"/>
        <v>0,0401 (0.014; 0.133)</v>
      </c>
      <c r="AA67" s="21">
        <v>0.00986109541319682</v>
      </c>
      <c r="AB67" s="21">
        <v>0.0766474856832004</v>
      </c>
    </row>
    <row r="68" ht="28" spans="1:28">
      <c r="A68" s="8" t="s">
        <v>615</v>
      </c>
      <c r="B68" s="80">
        <v>154</v>
      </c>
      <c r="C68" s="80">
        <v>0.135</v>
      </c>
      <c r="D68" s="80">
        <v>0.155</v>
      </c>
      <c r="E68" s="80" t="s">
        <v>896</v>
      </c>
      <c r="F68" s="96">
        <v>0.0761</v>
      </c>
      <c r="G68" s="86" t="s">
        <v>897</v>
      </c>
      <c r="H68" s="86" t="s">
        <v>896</v>
      </c>
      <c r="I68" s="86">
        <v>144</v>
      </c>
      <c r="J68" s="80">
        <v>0.19</v>
      </c>
      <c r="K68" s="80">
        <v>0.2</v>
      </c>
      <c r="L68" s="80" t="s">
        <v>898</v>
      </c>
      <c r="M68" s="96">
        <v>0.124</v>
      </c>
      <c r="N68" s="86" t="s">
        <v>899</v>
      </c>
      <c r="O68" s="86"/>
      <c r="P68" s="96">
        <v>0.005</v>
      </c>
      <c r="Q68" s="21">
        <v>0.0177506775299919</v>
      </c>
      <c r="R68" s="21">
        <v>0.0581439714046826</v>
      </c>
      <c r="S68" s="102"/>
      <c r="X68" s="8" t="s">
        <v>615</v>
      </c>
      <c r="Y68" s="81" t="str">
        <f t="shared" ref="Y68:Y69" si="2">CONCATENATE(F68," (",G68,")")</f>
        <v>0,0761 (0.033; 0.185)</v>
      </c>
      <c r="Z68" s="81" t="str">
        <f t="shared" ref="Z68:Z69" si="3">CONCATENATE(M68," (",N68,")")</f>
        <v>0,124 (0.0437; 0.251)</v>
      </c>
      <c r="AA68" s="21">
        <v>0.0177506775299919</v>
      </c>
      <c r="AB68" s="21">
        <v>0.0581439714046826</v>
      </c>
    </row>
    <row r="69" ht="28.75" spans="1:28">
      <c r="A69" s="9" t="s">
        <v>622</v>
      </c>
      <c r="B69" s="90">
        <v>154</v>
      </c>
      <c r="C69" s="90">
        <v>0.109</v>
      </c>
      <c r="D69" s="90">
        <v>0.105</v>
      </c>
      <c r="E69" s="90" t="s">
        <v>900</v>
      </c>
      <c r="F69" s="109">
        <v>0.0787</v>
      </c>
      <c r="G69" s="90" t="s">
        <v>901</v>
      </c>
      <c r="H69" s="90" t="s">
        <v>900</v>
      </c>
      <c r="I69" s="90">
        <v>144</v>
      </c>
      <c r="J69" s="90">
        <v>0.12</v>
      </c>
      <c r="K69" s="90">
        <v>0.101</v>
      </c>
      <c r="L69" s="90" t="s">
        <v>902</v>
      </c>
      <c r="M69" s="109">
        <v>0.0937</v>
      </c>
      <c r="N69" s="90" t="s">
        <v>903</v>
      </c>
      <c r="O69" s="90"/>
      <c r="P69" s="90">
        <v>0.1963</v>
      </c>
      <c r="Q69" s="109">
        <v>0.264012450459327</v>
      </c>
      <c r="R69" s="109">
        <v>0.541538771771923</v>
      </c>
      <c r="S69" s="102"/>
      <c r="X69" s="9" t="s">
        <v>622</v>
      </c>
      <c r="Y69" s="9" t="str">
        <f t="shared" si="2"/>
        <v>0,0787 (0.0234; 0.163)</v>
      </c>
      <c r="Z69" s="9" t="str">
        <f t="shared" si="3"/>
        <v>0,0937 (0.0356; 0.183)</v>
      </c>
      <c r="AA69" s="109">
        <v>0.264012450459327</v>
      </c>
      <c r="AB69" s="109">
        <v>0.541538771771923</v>
      </c>
    </row>
    <row r="70" ht="31" customHeight="1" spans="19:28">
      <c r="S70" s="102"/>
      <c r="X70" s="112" t="s">
        <v>904</v>
      </c>
      <c r="Y70" s="112"/>
      <c r="Z70" s="112"/>
      <c r="AA70" s="112"/>
      <c r="AB70" s="112"/>
    </row>
    <row r="71" customHeight="1" spans="2:28">
      <c r="B71" s="80">
        <f>$V$49</f>
        <v>160</v>
      </c>
      <c r="C71" s="80">
        <f>$V$60</f>
        <v>28.3</v>
      </c>
      <c r="D71" s="80">
        <f>$V$61</f>
        <v>5</v>
      </c>
      <c r="E71" s="80" t="str">
        <f>CONCATENATE($V$57,"; ",$V$58)</f>
        <v>26,8; 28,5</v>
      </c>
      <c r="F71" s="81">
        <f>$V$52</f>
        <v>28</v>
      </c>
      <c r="G71" s="92" t="str">
        <f>CONCATENATE($V$51,"; ",$V$53)</f>
        <v>24,4; 31,6</v>
      </c>
      <c r="H71" s="82" t="str">
        <f>CONCATENATE($V$57,"; ",$V$58)</f>
        <v>26,8; 28,5</v>
      </c>
      <c r="I71" s="80">
        <f>$U$49</f>
        <v>151</v>
      </c>
      <c r="J71" s="80">
        <f>$U$60</f>
        <v>26.8</v>
      </c>
      <c r="K71" s="80">
        <f>$U$61</f>
        <v>4.3</v>
      </c>
      <c r="L71" s="80" t="str">
        <f>CONCATENATE($U$57,"; ",$U$58)</f>
        <v>25,3; 27,1</v>
      </c>
      <c r="M71" s="81">
        <f>$U$52</f>
        <v>26.2</v>
      </c>
      <c r="N71" s="92" t="str">
        <f>CONCATENATE($U$51,"; ",$U$53)</f>
        <v>23,5; 29,3</v>
      </c>
      <c r="X71" s="113"/>
      <c r="Y71" s="81"/>
      <c r="Z71" s="81"/>
      <c r="AA71" s="113"/>
      <c r="AB71" s="113"/>
    </row>
    <row r="72" spans="1:28">
      <c r="A72" s="79" t="s">
        <v>629</v>
      </c>
      <c r="B72" s="79" t="s">
        <v>630</v>
      </c>
      <c r="F72" s="110" t="s">
        <v>630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X72" s="113"/>
      <c r="Y72" s="114"/>
      <c r="Z72" s="114"/>
      <c r="AA72" s="113"/>
      <c r="AB72" s="113"/>
    </row>
    <row r="73" spans="1:26">
      <c r="A73" s="79" t="s">
        <v>631</v>
      </c>
      <c r="B73" s="79" t="s">
        <v>632</v>
      </c>
      <c r="F73" s="111" t="s">
        <v>632</v>
      </c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Y73" s="111"/>
      <c r="Z73" s="111"/>
    </row>
    <row r="74" spans="1:26">
      <c r="A74" s="79" t="s">
        <v>633</v>
      </c>
      <c r="B74" s="79" t="s">
        <v>905</v>
      </c>
      <c r="F74" s="111" t="s">
        <v>634</v>
      </c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Y74" s="111"/>
      <c r="Z74" s="111"/>
    </row>
  </sheetData>
  <mergeCells count="7">
    <mergeCell ref="B1:H1"/>
    <mergeCell ref="I1:O1"/>
    <mergeCell ref="X70:AB70"/>
    <mergeCell ref="A1:A2"/>
    <mergeCell ref="X1:X2"/>
    <mergeCell ref="AA1:AA2"/>
    <mergeCell ref="AB1:AB2"/>
  </mergeCells>
  <conditionalFormatting sqref="P7">
    <cfRule type="cellIs" dxfId="0" priority="105" operator="lessThan">
      <formula>0.05</formula>
    </cfRule>
  </conditionalFormatting>
  <conditionalFormatting sqref="P13">
    <cfRule type="cellIs" dxfId="0" priority="103" operator="lessThan">
      <formula>0.05</formula>
    </cfRule>
  </conditionalFormatting>
  <conditionalFormatting sqref="P14">
    <cfRule type="cellIs" dxfId="0" priority="102" operator="lessThan">
      <formula>0.05</formula>
    </cfRule>
  </conditionalFormatting>
  <conditionalFormatting sqref="P16">
    <cfRule type="cellIs" dxfId="0" priority="101" operator="lessThan">
      <formula>0.05</formula>
    </cfRule>
  </conditionalFormatting>
  <conditionalFormatting sqref="P17">
    <cfRule type="cellIs" dxfId="0" priority="100" operator="lessThan">
      <formula>0.05</formula>
    </cfRule>
  </conditionalFormatting>
  <conditionalFormatting sqref="P18">
    <cfRule type="cellIs" dxfId="0" priority="99" operator="lessThan">
      <formula>0.05</formula>
    </cfRule>
  </conditionalFormatting>
  <conditionalFormatting sqref="P23">
    <cfRule type="cellIs" dxfId="0" priority="96" operator="lessThan">
      <formula>0.05</formula>
    </cfRule>
  </conditionalFormatting>
  <conditionalFormatting sqref="P26">
    <cfRule type="cellIs" dxfId="0" priority="94" operator="lessThan">
      <formula>0.05</formula>
    </cfRule>
  </conditionalFormatting>
  <conditionalFormatting sqref="P36">
    <cfRule type="cellIs" dxfId="0" priority="90" operator="lessThan">
      <formula>0.05</formula>
    </cfRule>
  </conditionalFormatting>
  <conditionalFormatting sqref="P37">
    <cfRule type="cellIs" dxfId="0" priority="89" operator="lessThan">
      <formula>0.05</formula>
    </cfRule>
  </conditionalFormatting>
  <conditionalFormatting sqref="P38">
    <cfRule type="cellIs" dxfId="0" priority="88" operator="lessThan">
      <formula>0.05</formula>
    </cfRule>
  </conditionalFormatting>
  <conditionalFormatting sqref="P39">
    <cfRule type="cellIs" dxfId="0" priority="87" operator="lessThan">
      <formula>0.05</formula>
    </cfRule>
  </conditionalFormatting>
  <conditionalFormatting sqref="Q39">
    <cfRule type="cellIs" dxfId="0" priority="62" operator="lessThan">
      <formula>0.05</formula>
    </cfRule>
  </conditionalFormatting>
  <conditionalFormatting sqref="R39">
    <cfRule type="cellIs" dxfId="0" priority="61" operator="lessThan">
      <formula>0.05</formula>
    </cfRule>
  </conditionalFormatting>
  <conditionalFormatting sqref="AA39">
    <cfRule type="cellIs" dxfId="0" priority="13" operator="lessThan">
      <formula>0.05</formula>
    </cfRule>
  </conditionalFormatting>
  <conditionalFormatting sqref="AB39">
    <cfRule type="cellIs" dxfId="0" priority="12" operator="lessThan">
      <formula>0.05</formula>
    </cfRule>
  </conditionalFormatting>
  <conditionalFormatting sqref="P40">
    <cfRule type="cellIs" dxfId="0" priority="86" operator="lessThan">
      <formula>0.05</formula>
    </cfRule>
  </conditionalFormatting>
  <conditionalFormatting sqref="Q45">
    <cfRule type="cellIs" dxfId="0" priority="56" operator="lessThan">
      <formula>0.05</formula>
    </cfRule>
  </conditionalFormatting>
  <conditionalFormatting sqref="R45">
    <cfRule type="cellIs" dxfId="0" priority="55" operator="lessThan">
      <formula>0.05</formula>
    </cfRule>
  </conditionalFormatting>
  <conditionalFormatting sqref="AA45">
    <cfRule type="cellIs" dxfId="0" priority="9" operator="lessThan">
      <formula>0.05</formula>
    </cfRule>
  </conditionalFormatting>
  <conditionalFormatting sqref="AB45">
    <cfRule type="cellIs" dxfId="0" priority="8" operator="lessThan">
      <formula>0.05</formula>
    </cfRule>
  </conditionalFormatting>
  <conditionalFormatting sqref="P47">
    <cfRule type="cellIs" dxfId="0" priority="83" operator="lessThan">
      <formula>0.05</formula>
    </cfRule>
  </conditionalFormatting>
  <conditionalFormatting sqref="P48">
    <cfRule type="cellIs" dxfId="0" priority="82" operator="lessThan">
      <formula>0.05</formula>
    </cfRule>
  </conditionalFormatting>
  <conditionalFormatting sqref="Q53">
    <cfRule type="cellIs" dxfId="0" priority="49" operator="lessThan">
      <formula>0.05</formula>
    </cfRule>
  </conditionalFormatting>
  <conditionalFormatting sqref="AA53">
    <cfRule type="cellIs" dxfId="0" priority="3" operator="lessThan">
      <formula>0.05</formula>
    </cfRule>
  </conditionalFormatting>
  <conditionalFormatting sqref="P59">
    <cfRule type="cellIs" dxfId="0" priority="78" operator="lessThan">
      <formula>0.05</formula>
    </cfRule>
  </conditionalFormatting>
  <conditionalFormatting sqref="P19:P20">
    <cfRule type="cellIs" dxfId="0" priority="98" operator="lessThan">
      <formula>0.05</formula>
    </cfRule>
  </conditionalFormatting>
  <conditionalFormatting sqref="P21:P22">
    <cfRule type="cellIs" dxfId="0" priority="97" operator="lessThan">
      <formula>0.05</formula>
    </cfRule>
  </conditionalFormatting>
  <conditionalFormatting sqref="P24:P25">
    <cfRule type="cellIs" dxfId="0" priority="95" operator="lessThan">
      <formula>0.05</formula>
    </cfRule>
  </conditionalFormatting>
  <conditionalFormatting sqref="P27:P31">
    <cfRule type="cellIs" dxfId="0" priority="93" operator="lessThan">
      <formula>0.05</formula>
    </cfRule>
  </conditionalFormatting>
  <conditionalFormatting sqref="P32:P33">
    <cfRule type="cellIs" dxfId="0" priority="92" operator="lessThan">
      <formula>0.05</formula>
    </cfRule>
  </conditionalFormatting>
  <conditionalFormatting sqref="P34:P35">
    <cfRule type="cellIs" dxfId="0" priority="91" operator="lessThan">
      <formula>0.05</formula>
    </cfRule>
  </conditionalFormatting>
  <conditionalFormatting sqref="P41:P42">
    <cfRule type="cellIs" dxfId="0" priority="85" operator="lessThan">
      <formula>0.05</formula>
    </cfRule>
  </conditionalFormatting>
  <conditionalFormatting sqref="P44:P46">
    <cfRule type="cellIs" dxfId="0" priority="84" operator="lessThan">
      <formula>0.05</formula>
    </cfRule>
  </conditionalFormatting>
  <conditionalFormatting sqref="P49:P50">
    <cfRule type="cellIs" dxfId="0" priority="81" operator="lessThan">
      <formula>0.05</formula>
    </cfRule>
  </conditionalFormatting>
  <conditionalFormatting sqref="P51:P54">
    <cfRule type="cellIs" dxfId="0" priority="80" operator="lessThan">
      <formula>0.05</formula>
    </cfRule>
  </conditionalFormatting>
  <conditionalFormatting sqref="P55:P58">
    <cfRule type="cellIs" dxfId="0" priority="79" operator="lessThan">
      <formula>0.05</formula>
    </cfRule>
  </conditionalFormatting>
  <conditionalFormatting sqref="P60:P68">
    <cfRule type="cellIs" dxfId="0" priority="77" operator="lessThan">
      <formula>0.05</formula>
    </cfRule>
  </conditionalFormatting>
  <conditionalFormatting sqref="Q26:Q36">
    <cfRule type="cellIs" dxfId="0" priority="67" operator="lessThan">
      <formula>0.05</formula>
    </cfRule>
  </conditionalFormatting>
  <conditionalFormatting sqref="Q41:Q42">
    <cfRule type="cellIs" dxfId="0" priority="58" operator="lessThan">
      <formula>0.05</formula>
    </cfRule>
  </conditionalFormatting>
  <conditionalFormatting sqref="Q50:Q51">
    <cfRule type="cellIs" dxfId="0" priority="51" operator="lessThan">
      <formula>0.05</formula>
    </cfRule>
  </conditionalFormatting>
  <conditionalFormatting sqref="Q65:Q68">
    <cfRule type="cellIs" dxfId="0" priority="47" operator="lessThan">
      <formula>0.05</formula>
    </cfRule>
  </conditionalFormatting>
  <conditionalFormatting sqref="R33:R36">
    <cfRule type="cellIs" dxfId="0" priority="65" operator="lessThan">
      <formula>0.05</formula>
    </cfRule>
  </conditionalFormatting>
  <conditionalFormatting sqref="R41:R42">
    <cfRule type="cellIs" dxfId="0" priority="57" operator="lessThan">
      <formula>0.05</formula>
    </cfRule>
  </conditionalFormatting>
  <conditionalFormatting sqref="R50:R51">
    <cfRule type="cellIs" dxfId="0" priority="50" operator="lessThan">
      <formula>0.05</formula>
    </cfRule>
  </conditionalFormatting>
  <conditionalFormatting sqref="R65:R68">
    <cfRule type="cellIs" dxfId="0" priority="46" operator="lessThan">
      <formula>0.05</formula>
    </cfRule>
  </conditionalFormatting>
  <conditionalFormatting sqref="AA26:AA36">
    <cfRule type="cellIs" dxfId="0" priority="15" operator="lessThan">
      <formula>0.05</formula>
    </cfRule>
  </conditionalFormatting>
  <conditionalFormatting sqref="AA41:AA42">
    <cfRule type="cellIs" dxfId="0" priority="11" operator="lessThan">
      <formula>0.05</formula>
    </cfRule>
  </conditionalFormatting>
  <conditionalFormatting sqref="AA50:AA51">
    <cfRule type="cellIs" dxfId="0" priority="5" operator="lessThan">
      <formula>0.05</formula>
    </cfRule>
  </conditionalFormatting>
  <conditionalFormatting sqref="AA65:AA68">
    <cfRule type="cellIs" dxfId="0" priority="2" operator="lessThan">
      <formula>0.05</formula>
    </cfRule>
  </conditionalFormatting>
  <conditionalFormatting sqref="AB33:AB36">
    <cfRule type="cellIs" dxfId="0" priority="14" operator="lessThan">
      <formula>0.05</formula>
    </cfRule>
  </conditionalFormatting>
  <conditionalFormatting sqref="AB41:AB42">
    <cfRule type="cellIs" dxfId="0" priority="10" operator="lessThan">
      <formula>0.05</formula>
    </cfRule>
  </conditionalFormatting>
  <conditionalFormatting sqref="AB50:AB51">
    <cfRule type="cellIs" dxfId="0" priority="4" operator="lessThan">
      <formula>0.05</formula>
    </cfRule>
  </conditionalFormatting>
  <conditionalFormatting sqref="AB65:AB68">
    <cfRule type="cellIs" dxfId="0" priority="1" operator="lessThan">
      <formula>0.05</formula>
    </cfRule>
  </conditionalFormatting>
  <conditionalFormatting sqref="Q3:R25">
    <cfRule type="cellIs" dxfId="0" priority="69" operator="lessThan">
      <formula>0.05</formula>
    </cfRule>
  </conditionalFormatting>
  <conditionalFormatting sqref="AA3:AB25">
    <cfRule type="cellIs" dxfId="0" priority="16" operator="lessThan">
      <formula>0.05</formula>
    </cfRule>
  </conditionalFormatting>
  <conditionalFormatting sqref="P12;P15;P43">
    <cfRule type="cellIs" dxfId="0" priority="104" operator="lessThan">
      <formula>0.05</formula>
    </cfRule>
  </conditionalFormatting>
  <conditionalFormatting sqref="Q46:Q49;Q52;Q54:Q63">
    <cfRule type="cellIs" dxfId="0" priority="53" operator="lessThan">
      <formula>0.05</formula>
    </cfRule>
  </conditionalFormatting>
  <conditionalFormatting sqref="R46:R49;R52:R63">
    <cfRule type="cellIs" dxfId="0" priority="52" operator="lessThan">
      <formula>0.05</formula>
    </cfRule>
  </conditionalFormatting>
  <conditionalFormatting sqref="AA46:AA49;AA52;AA54:AA63">
    <cfRule type="cellIs" dxfId="0" priority="7" operator="lessThan">
      <formula>0.05</formula>
    </cfRule>
  </conditionalFormatting>
  <conditionalFormatting sqref="AB46:AB49;AB52:AB63">
    <cfRule type="cellIs" dxfId="0" priority="6" operator="lessThan">
      <formula>0.05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8"/>
  <sheetViews>
    <sheetView zoomScale="95" zoomScaleNormal="95" topLeftCell="A37" workbookViewId="0">
      <selection activeCell="N7" sqref="N7"/>
    </sheetView>
  </sheetViews>
  <sheetFormatPr defaultColWidth="11" defaultRowHeight="12.5"/>
  <cols>
    <col min="1" max="1" width="26.0909090909091" style="1" customWidth="1"/>
    <col min="2" max="2" width="4.27272727272727" style="1" hidden="1" customWidth="1"/>
    <col min="3" max="3" width="7.90909090909091" style="1" customWidth="1"/>
    <col min="4" max="4" width="17.3636363636364" style="1" customWidth="1"/>
    <col min="5" max="5" width="17" style="1" hidden="1" customWidth="1"/>
    <col min="6" max="6" width="4.27272727272727" style="1" hidden="1" customWidth="1"/>
    <col min="7" max="7" width="7.90909090909091" style="1" customWidth="1"/>
    <col min="8" max="8" width="19.3636363636364" style="1" customWidth="1"/>
    <col min="9" max="9" width="18.9090909090909" style="1" hidden="1" customWidth="1"/>
    <col min="10" max="10" width="4.27272727272727" style="1" hidden="1" customWidth="1"/>
    <col min="11" max="11" width="7.90909090909091" style="1" customWidth="1"/>
    <col min="12" max="12" width="19" style="1" customWidth="1"/>
    <col min="13" max="13" width="16.7272727272727" style="1" hidden="1" customWidth="1"/>
    <col min="14" max="14" width="10.9090909090909" style="28" customWidth="1"/>
    <col min="15" max="16" width="10.9090909090909" style="1" customWidth="1"/>
    <col min="17" max="17" width="7.63636363636364" style="1" customWidth="1"/>
    <col min="18" max="19" width="10.9090909090909" style="1"/>
    <col min="20" max="20" width="20.0909090909091" style="1" customWidth="1"/>
    <col min="21" max="21" width="23.3636363636364" style="29" customWidth="1"/>
    <col min="22" max="22" width="25.5454545454545" style="29" customWidth="1"/>
    <col min="23" max="23" width="25.1818181818182" style="29" customWidth="1"/>
    <col min="24" max="16384" width="10.9090909090909" style="1"/>
  </cols>
  <sheetData>
    <row r="1" ht="13.75" spans="1:25">
      <c r="A1" s="30" t="s">
        <v>906</v>
      </c>
      <c r="B1" s="31" t="s">
        <v>226</v>
      </c>
      <c r="C1" s="31"/>
      <c r="D1" s="31"/>
      <c r="E1" s="31"/>
      <c r="F1" s="31"/>
      <c r="G1" s="31" t="s">
        <v>227</v>
      </c>
      <c r="H1" s="31"/>
      <c r="I1" s="31"/>
      <c r="J1" s="31" t="s">
        <v>233</v>
      </c>
      <c r="K1" s="31"/>
      <c r="L1" s="31"/>
      <c r="M1" s="54"/>
      <c r="N1" s="31" t="s">
        <v>229</v>
      </c>
      <c r="O1" s="31" t="s">
        <v>230</v>
      </c>
      <c r="P1" s="55" t="s">
        <v>231</v>
      </c>
      <c r="Q1" s="55" t="s">
        <v>232</v>
      </c>
      <c r="R1" s="55"/>
      <c r="T1" s="1" t="s">
        <v>906</v>
      </c>
      <c r="U1" s="29" t="s">
        <v>907</v>
      </c>
      <c r="V1" s="29" t="s">
        <v>908</v>
      </c>
      <c r="W1" s="29" t="s">
        <v>909</v>
      </c>
      <c r="X1" s="1" t="s">
        <v>230</v>
      </c>
      <c r="Y1" s="1" t="s">
        <v>232</v>
      </c>
    </row>
    <row r="2" spans="1:23">
      <c r="A2" s="30"/>
      <c r="B2" s="32" t="s">
        <v>101</v>
      </c>
      <c r="C2" s="32" t="s">
        <v>0</v>
      </c>
      <c r="D2" s="32" t="s">
        <v>1</v>
      </c>
      <c r="E2" s="32" t="s">
        <v>105</v>
      </c>
      <c r="F2" s="32" t="s">
        <v>101</v>
      </c>
      <c r="G2" s="32" t="s">
        <v>0</v>
      </c>
      <c r="H2" s="32" t="s">
        <v>1</v>
      </c>
      <c r="I2" s="32" t="s">
        <v>105</v>
      </c>
      <c r="J2" s="32" t="s">
        <v>101</v>
      </c>
      <c r="K2" s="32" t="s">
        <v>0</v>
      </c>
      <c r="L2" s="32" t="s">
        <v>1</v>
      </c>
      <c r="M2" s="32" t="s">
        <v>105</v>
      </c>
      <c r="N2" s="56" t="s">
        <v>234</v>
      </c>
      <c r="O2" s="56"/>
      <c r="P2" s="57"/>
      <c r="Q2" s="57"/>
      <c r="R2" s="57"/>
      <c r="U2" s="29" t="s">
        <v>235</v>
      </c>
      <c r="V2" s="29" t="s">
        <v>235</v>
      </c>
      <c r="W2" s="29" t="s">
        <v>235</v>
      </c>
    </row>
    <row r="3" ht="13.75" spans="1:23">
      <c r="A3" s="33" t="s">
        <v>251</v>
      </c>
      <c r="B3" s="34">
        <v>104</v>
      </c>
      <c r="C3" s="35">
        <v>-0.395</v>
      </c>
      <c r="D3" s="35" t="s">
        <v>910</v>
      </c>
      <c r="E3" s="35" t="s">
        <v>911</v>
      </c>
      <c r="F3" s="35">
        <v>103</v>
      </c>
      <c r="G3" s="35">
        <v>0.0204</v>
      </c>
      <c r="H3" s="35" t="s">
        <v>912</v>
      </c>
      <c r="I3" s="35" t="s">
        <v>913</v>
      </c>
      <c r="J3" s="35">
        <v>104</v>
      </c>
      <c r="K3" s="35">
        <v>0.488</v>
      </c>
      <c r="L3" s="35" t="s">
        <v>914</v>
      </c>
      <c r="M3" s="35" t="s">
        <v>915</v>
      </c>
      <c r="N3" s="58"/>
      <c r="O3" s="58"/>
      <c r="P3" s="58"/>
      <c r="Q3" s="58"/>
      <c r="R3" s="57"/>
      <c r="T3" s="1" t="s">
        <v>251</v>
      </c>
      <c r="U3" s="29" t="str">
        <f>CONCATENATE(C3," (",D3,")")</f>
        <v>-0,395 (-0.603; -0.295)</v>
      </c>
      <c r="V3" s="29" t="str">
        <f>CONCATENATE(G3," (",H3,")")</f>
        <v>0,0204 (-0.0985; 0.15)</v>
      </c>
      <c r="W3" s="29" t="str">
        <f>CONCATENATE(K3," (",L3,")")</f>
        <v>0,488 (0.365; 0.659)</v>
      </c>
    </row>
    <row r="4" ht="13" spans="1:20">
      <c r="A4" s="36" t="s">
        <v>116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1" t="s">
        <v>116</v>
      </c>
    </row>
    <row r="5" hidden="1" spans="1:20">
      <c r="A5" s="38" t="s">
        <v>117</v>
      </c>
      <c r="B5" s="32"/>
      <c r="C5" s="32"/>
      <c r="D5" s="39"/>
      <c r="E5" s="39"/>
      <c r="F5" s="39"/>
      <c r="G5" s="32"/>
      <c r="H5" s="32"/>
      <c r="I5" s="39"/>
      <c r="J5" s="32"/>
      <c r="K5" s="32"/>
      <c r="L5" s="39"/>
      <c r="M5" s="39"/>
      <c r="N5" s="39"/>
      <c r="T5" s="1" t="s">
        <v>117</v>
      </c>
    </row>
    <row r="6" hidden="1" spans="1:20">
      <c r="A6" s="38" t="s">
        <v>123</v>
      </c>
      <c r="B6" s="32"/>
      <c r="C6" s="32"/>
      <c r="D6" s="39"/>
      <c r="E6" s="39"/>
      <c r="F6" s="39"/>
      <c r="G6" s="32"/>
      <c r="H6" s="32"/>
      <c r="I6" s="39"/>
      <c r="J6" s="32"/>
      <c r="K6" s="32"/>
      <c r="L6" s="39"/>
      <c r="M6" s="39"/>
      <c r="N6" s="39"/>
      <c r="T6" s="1" t="s">
        <v>123</v>
      </c>
    </row>
    <row r="7" ht="13" spans="1:25">
      <c r="A7" s="33" t="s">
        <v>244</v>
      </c>
      <c r="B7" s="34">
        <v>104</v>
      </c>
      <c r="C7" s="35">
        <v>44.5</v>
      </c>
      <c r="D7" s="35" t="s">
        <v>916</v>
      </c>
      <c r="E7" s="35" t="s">
        <v>917</v>
      </c>
      <c r="F7" s="35">
        <v>103</v>
      </c>
      <c r="G7" s="35">
        <v>42</v>
      </c>
      <c r="H7" s="35" t="s">
        <v>918</v>
      </c>
      <c r="I7" s="35" t="s">
        <v>919</v>
      </c>
      <c r="J7" s="35">
        <v>104</v>
      </c>
      <c r="K7" s="35">
        <v>38</v>
      </c>
      <c r="L7" s="35" t="s">
        <v>920</v>
      </c>
      <c r="M7" s="35" t="s">
        <v>921</v>
      </c>
      <c r="N7" s="59">
        <v>0.0042</v>
      </c>
      <c r="O7" s="60">
        <v>0.0201617284516725</v>
      </c>
      <c r="P7" s="61">
        <v>0.897768633280322</v>
      </c>
      <c r="Q7" s="61">
        <v>0.931385977066113</v>
      </c>
      <c r="T7" s="1" t="s">
        <v>922</v>
      </c>
      <c r="U7" s="29" t="str">
        <f>CONCATENATE(C7," (",D7,")")</f>
        <v>44,5 (32.25; 51)</v>
      </c>
      <c r="V7" s="29" t="str">
        <f>CONCATENATE(G7," (",H7,")")</f>
        <v>42 (32; 50)</v>
      </c>
      <c r="W7" s="29" t="str">
        <f>CONCATENATE(K7," (",L7,")")</f>
        <v>38 (28; 45)</v>
      </c>
      <c r="X7" s="70">
        <v>0.0201617284516725</v>
      </c>
      <c r="Y7" s="70">
        <v>0.931385977066113</v>
      </c>
    </row>
    <row r="8" ht="13" hidden="1" spans="1:25">
      <c r="A8" s="40" t="s">
        <v>250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39"/>
      <c r="T8" s="1" t="s">
        <v>250</v>
      </c>
      <c r="U8" s="29" t="str">
        <f t="shared" ref="U8:U64" si="0">CONCATENATE(C8," (",D8,")")</f>
        <v> ()</v>
      </c>
      <c r="V8" s="29" t="str">
        <f t="shared" ref="V8:V64" si="1">CONCATENATE(G8," (",H8,")")</f>
        <v> ()</v>
      </c>
      <c r="W8" s="29" t="str">
        <f t="shared" ref="W8:W64" si="2">CONCATENATE(K8," (",L8,")")</f>
        <v> ()</v>
      </c>
      <c r="X8" s="70"/>
      <c r="Y8" s="70"/>
    </row>
    <row r="9" hidden="1" spans="1:25">
      <c r="A9" s="42" t="s">
        <v>128</v>
      </c>
      <c r="B9" s="43"/>
      <c r="C9" s="43"/>
      <c r="D9" s="35"/>
      <c r="E9" s="35"/>
      <c r="F9" s="35"/>
      <c r="G9" s="43"/>
      <c r="H9" s="43"/>
      <c r="I9" s="35"/>
      <c r="J9" s="43"/>
      <c r="K9" s="43"/>
      <c r="L9" s="35"/>
      <c r="M9" s="35"/>
      <c r="N9" s="39"/>
      <c r="T9" s="1" t="s">
        <v>128</v>
      </c>
      <c r="U9" s="29" t="str">
        <f t="shared" si="0"/>
        <v> ()</v>
      </c>
      <c r="V9" s="29" t="str">
        <f t="shared" si="1"/>
        <v> ()</v>
      </c>
      <c r="W9" s="29" t="str">
        <f t="shared" si="2"/>
        <v> ()</v>
      </c>
      <c r="X9" s="70"/>
      <c r="Y9" s="70"/>
    </row>
    <row r="10" ht="13.25" hidden="1" spans="1:25">
      <c r="A10" s="44" t="s">
        <v>134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54"/>
      <c r="P10" s="62"/>
      <c r="Q10" s="62"/>
      <c r="R10" s="57"/>
      <c r="T10" s="1" t="s">
        <v>134</v>
      </c>
      <c r="U10" s="29" t="str">
        <f t="shared" si="0"/>
        <v> ()</v>
      </c>
      <c r="V10" s="29" t="str">
        <f t="shared" si="1"/>
        <v> ()</v>
      </c>
      <c r="W10" s="29" t="str">
        <f t="shared" si="2"/>
        <v> ()</v>
      </c>
      <c r="X10" s="70"/>
      <c r="Y10" s="70"/>
    </row>
    <row r="11" customHeight="1" spans="1:25">
      <c r="A11" s="33" t="s">
        <v>236</v>
      </c>
      <c r="B11" s="34">
        <v>104</v>
      </c>
      <c r="C11" s="35">
        <v>1297.6</v>
      </c>
      <c r="D11" s="35" t="s">
        <v>923</v>
      </c>
      <c r="E11" s="35" t="s">
        <v>924</v>
      </c>
      <c r="F11" s="35">
        <v>103</v>
      </c>
      <c r="G11" s="35">
        <v>970.69</v>
      </c>
      <c r="H11" s="35" t="s">
        <v>925</v>
      </c>
      <c r="I11" s="35" t="s">
        <v>926</v>
      </c>
      <c r="J11" s="35">
        <v>104</v>
      </c>
      <c r="K11" s="35">
        <v>707.6</v>
      </c>
      <c r="L11" s="35" t="s">
        <v>927</v>
      </c>
      <c r="M11" s="35" t="s">
        <v>928</v>
      </c>
      <c r="N11" s="63" t="s">
        <v>243</v>
      </c>
      <c r="O11" s="58" t="s">
        <v>243</v>
      </c>
      <c r="P11" s="58" t="s">
        <v>243</v>
      </c>
      <c r="Q11" s="58" t="s">
        <v>243</v>
      </c>
      <c r="T11" s="1" t="s">
        <v>236</v>
      </c>
      <c r="U11" s="29" t="str">
        <f t="shared" si="0"/>
        <v>1297,6 (868.17; 1816.9)</v>
      </c>
      <c r="V11" s="29" t="str">
        <f t="shared" si="1"/>
        <v>970,69 (716.48; 1428.3)</v>
      </c>
      <c r="W11" s="29" t="str">
        <f t="shared" si="2"/>
        <v>707,6 (462.69; 1119.1)</v>
      </c>
      <c r="X11" s="70" t="s">
        <v>243</v>
      </c>
      <c r="Y11" s="70" t="s">
        <v>243</v>
      </c>
    </row>
    <row r="12" ht="13" spans="1:25">
      <c r="A12" s="33" t="s">
        <v>258</v>
      </c>
      <c r="B12" s="34">
        <v>104</v>
      </c>
      <c r="C12" s="35">
        <v>67.95</v>
      </c>
      <c r="D12" s="35" t="s">
        <v>929</v>
      </c>
      <c r="E12" s="35" t="s">
        <v>930</v>
      </c>
      <c r="F12" s="35">
        <v>103</v>
      </c>
      <c r="G12" s="35">
        <v>72.2</v>
      </c>
      <c r="H12" s="35" t="s">
        <v>931</v>
      </c>
      <c r="I12" s="35" t="s">
        <v>932</v>
      </c>
      <c r="J12" s="35">
        <v>104</v>
      </c>
      <c r="K12" s="35">
        <v>74.4</v>
      </c>
      <c r="L12" s="35" t="s">
        <v>933</v>
      </c>
      <c r="M12" s="35" t="s">
        <v>934</v>
      </c>
      <c r="N12" s="64">
        <v>0.0516</v>
      </c>
      <c r="O12" s="65">
        <v>0.122915693432624</v>
      </c>
      <c r="P12" s="64">
        <v>0.0493269255744786</v>
      </c>
      <c r="Q12" s="64">
        <v>0.0642122794218689</v>
      </c>
      <c r="T12" s="1" t="s">
        <v>935</v>
      </c>
      <c r="U12" s="29" t="str">
        <f t="shared" si="0"/>
        <v>67,95 (60.98; 80.35)</v>
      </c>
      <c r="V12" s="29" t="str">
        <f t="shared" si="1"/>
        <v>72,2 (63.2; 83.8)</v>
      </c>
      <c r="W12" s="29" t="str">
        <f t="shared" si="2"/>
        <v>74,4 (64.65; 86.35)</v>
      </c>
      <c r="X12" s="70">
        <v>0.122915693432624</v>
      </c>
      <c r="Y12" s="70">
        <v>0.0642122794218689</v>
      </c>
    </row>
    <row r="13" ht="15" customHeight="1" spans="1:25">
      <c r="A13" s="33" t="s">
        <v>265</v>
      </c>
      <c r="B13" s="34">
        <v>104</v>
      </c>
      <c r="C13" s="35">
        <v>25.88</v>
      </c>
      <c r="D13" s="35" t="s">
        <v>936</v>
      </c>
      <c r="E13" s="35" t="s">
        <v>937</v>
      </c>
      <c r="F13" s="35">
        <v>103</v>
      </c>
      <c r="G13" s="35">
        <v>26.84</v>
      </c>
      <c r="H13" s="35" t="s">
        <v>938</v>
      </c>
      <c r="I13" s="35" t="s">
        <v>939</v>
      </c>
      <c r="J13" s="35">
        <v>104</v>
      </c>
      <c r="K13" s="35">
        <v>28.33</v>
      </c>
      <c r="L13" s="35" t="s">
        <v>940</v>
      </c>
      <c r="M13" s="35" t="s">
        <v>941</v>
      </c>
      <c r="N13" s="64">
        <v>0.004</v>
      </c>
      <c r="O13" s="64">
        <v>0.00968478658037255</v>
      </c>
      <c r="P13" s="64">
        <v>0.0170184128454785</v>
      </c>
      <c r="Q13" s="64">
        <v>0.021328987453381</v>
      </c>
      <c r="T13" s="75" t="s">
        <v>942</v>
      </c>
      <c r="U13" s="29" t="str">
        <f t="shared" si="0"/>
        <v>25,88 (23.03; 29.03)</v>
      </c>
      <c r="V13" s="29" t="str">
        <f t="shared" si="1"/>
        <v>26,84 (24.37; 29.91)</v>
      </c>
      <c r="W13" s="29" t="str">
        <f t="shared" si="2"/>
        <v>28,33 (24.85; 32.02)</v>
      </c>
      <c r="X13" s="70">
        <v>0.00968478658037255</v>
      </c>
      <c r="Y13" s="70">
        <v>0.021328987453381</v>
      </c>
    </row>
    <row r="14" ht="13" customHeight="1" spans="1:25">
      <c r="A14" s="33" t="s">
        <v>272</v>
      </c>
      <c r="B14" s="34">
        <v>104</v>
      </c>
      <c r="C14" s="35">
        <v>87.6</v>
      </c>
      <c r="D14" s="35" t="s">
        <v>943</v>
      </c>
      <c r="E14" s="35" t="s">
        <v>944</v>
      </c>
      <c r="F14" s="35">
        <v>103</v>
      </c>
      <c r="G14" s="35">
        <v>93.1</v>
      </c>
      <c r="H14" s="35" t="s">
        <v>945</v>
      </c>
      <c r="I14" s="35" t="s">
        <v>946</v>
      </c>
      <c r="J14" s="35">
        <v>104</v>
      </c>
      <c r="K14" s="35" t="s">
        <v>947</v>
      </c>
      <c r="L14" s="35" t="s">
        <v>948</v>
      </c>
      <c r="M14" s="35" t="s">
        <v>949</v>
      </c>
      <c r="N14" s="64">
        <v>0.0334</v>
      </c>
      <c r="O14" s="66">
        <v>0.0922953295929194</v>
      </c>
      <c r="P14" s="67">
        <v>0.00557265658369918</v>
      </c>
      <c r="Q14" s="67">
        <v>0.00747698704689182</v>
      </c>
      <c r="T14" s="75" t="s">
        <v>950</v>
      </c>
      <c r="U14" s="29" t="str">
        <f t="shared" si="0"/>
        <v>87,6 (80.98; 97.25)</v>
      </c>
      <c r="V14" s="29" t="str">
        <f t="shared" si="1"/>
        <v>93,1 (82.5; 101.3)</v>
      </c>
      <c r="W14" s="29" t="str">
        <f t="shared" si="2"/>
        <v>94.05* (83.25; 101.8)</v>
      </c>
      <c r="X14" s="70">
        <v>0.0922953295929194</v>
      </c>
      <c r="Y14" s="70">
        <v>0.00747698704689182</v>
      </c>
    </row>
    <row r="15" ht="13" customHeight="1" spans="1:25">
      <c r="A15" s="33" t="s">
        <v>14</v>
      </c>
      <c r="B15" s="34">
        <v>104</v>
      </c>
      <c r="C15" s="35">
        <v>32.51</v>
      </c>
      <c r="D15" s="35" t="s">
        <v>951</v>
      </c>
      <c r="E15" s="35" t="s">
        <v>952</v>
      </c>
      <c r="F15" s="35">
        <v>103</v>
      </c>
      <c r="G15" s="35">
        <v>33.18</v>
      </c>
      <c r="H15" s="35" t="s">
        <v>953</v>
      </c>
      <c r="I15" s="35" t="s">
        <v>954</v>
      </c>
      <c r="J15" s="35">
        <v>104</v>
      </c>
      <c r="K15" s="35" t="s">
        <v>955</v>
      </c>
      <c r="L15" s="35" t="s">
        <v>956</v>
      </c>
      <c r="M15" s="35" t="s">
        <v>957</v>
      </c>
      <c r="N15" s="67">
        <v>0.0108</v>
      </c>
      <c r="O15" s="67">
        <v>0.00502737481336924</v>
      </c>
      <c r="P15" s="67">
        <v>0.000947038268300385</v>
      </c>
      <c r="Q15" s="67">
        <v>0.00120420386937454</v>
      </c>
      <c r="T15" s="75" t="s">
        <v>14</v>
      </c>
      <c r="U15" s="29" t="str">
        <f t="shared" si="0"/>
        <v>32,51 (25.68; 38.32)</v>
      </c>
      <c r="V15" s="29" t="str">
        <f t="shared" si="1"/>
        <v>33,18 (29.11; 39.94)</v>
      </c>
      <c r="W15" s="29" t="str">
        <f t="shared" si="2"/>
        <v>35.6* (29.63; 40.27)</v>
      </c>
      <c r="X15" s="70">
        <v>0.00502737481336924</v>
      </c>
      <c r="Y15" s="70">
        <v>0.00120420386937454</v>
      </c>
    </row>
    <row r="16" ht="13" customHeight="1" spans="1:25">
      <c r="A16" s="33" t="s">
        <v>285</v>
      </c>
      <c r="B16" s="34">
        <v>104</v>
      </c>
      <c r="C16" s="46">
        <v>4.2</v>
      </c>
      <c r="D16" s="35" t="s">
        <v>958</v>
      </c>
      <c r="E16" s="35" t="s">
        <v>289</v>
      </c>
      <c r="F16" s="35">
        <v>103</v>
      </c>
      <c r="G16" s="35">
        <v>5.01</v>
      </c>
      <c r="H16" s="35" t="s">
        <v>959</v>
      </c>
      <c r="I16" s="35" t="s">
        <v>960</v>
      </c>
      <c r="J16" s="35">
        <v>104</v>
      </c>
      <c r="K16" s="46">
        <v>6.6</v>
      </c>
      <c r="L16" s="35" t="s">
        <v>961</v>
      </c>
      <c r="M16" s="35" t="s">
        <v>962</v>
      </c>
      <c r="N16" s="67">
        <v>0.0141</v>
      </c>
      <c r="O16" s="66">
        <v>0.0179069458142251</v>
      </c>
      <c r="P16" s="66">
        <v>0.247618179495918</v>
      </c>
      <c r="Q16" s="66">
        <v>0.301445808758332</v>
      </c>
      <c r="T16" s="75" t="s">
        <v>963</v>
      </c>
      <c r="U16" s="29" t="str">
        <f t="shared" si="0"/>
        <v>4,2 (1.01; 8.61)</v>
      </c>
      <c r="V16" s="29" t="str">
        <f t="shared" si="1"/>
        <v>5,01 (1.98; 9.20)</v>
      </c>
      <c r="W16" s="29" t="str">
        <f t="shared" si="2"/>
        <v>6,6 (2.68; 11.5)</v>
      </c>
      <c r="X16" s="70">
        <v>0.0179069458142251</v>
      </c>
      <c r="Y16" s="70">
        <v>0.301445808758332</v>
      </c>
    </row>
    <row r="17" ht="13" customHeight="1" spans="1:25">
      <c r="A17" s="33" t="s">
        <v>295</v>
      </c>
      <c r="B17" s="34">
        <v>104</v>
      </c>
      <c r="C17" s="35">
        <v>6.27</v>
      </c>
      <c r="D17" s="35" t="s">
        <v>964</v>
      </c>
      <c r="E17" s="35" t="s">
        <v>965</v>
      </c>
      <c r="F17" s="35">
        <v>103</v>
      </c>
      <c r="G17" s="35">
        <v>5.95</v>
      </c>
      <c r="H17" s="35" t="s">
        <v>966</v>
      </c>
      <c r="I17" s="35" t="s">
        <v>967</v>
      </c>
      <c r="J17" s="35">
        <v>104</v>
      </c>
      <c r="K17" s="35">
        <v>5.48</v>
      </c>
      <c r="L17" s="35" t="s">
        <v>968</v>
      </c>
      <c r="M17" s="35" t="s">
        <v>969</v>
      </c>
      <c r="N17" s="66">
        <v>0.3675</v>
      </c>
      <c r="O17" s="67">
        <v>0.498809461177563</v>
      </c>
      <c r="P17" s="67">
        <v>0.179753482217235</v>
      </c>
      <c r="Q17" s="67">
        <v>0.288761685303548</v>
      </c>
      <c r="T17" s="75" t="s">
        <v>970</v>
      </c>
      <c r="U17" s="29" t="str">
        <f t="shared" si="0"/>
        <v>6,27 (3.95; 8.52)</v>
      </c>
      <c r="V17" s="29" t="str">
        <f t="shared" si="1"/>
        <v>5,95 (4.31; 8.34)</v>
      </c>
      <c r="W17" s="29" t="str">
        <f t="shared" si="2"/>
        <v>5,48 (3.84; 7.87)</v>
      </c>
      <c r="X17" s="70">
        <v>0.498809461177563</v>
      </c>
      <c r="Y17" s="70">
        <v>0.288761685303548</v>
      </c>
    </row>
    <row r="18" ht="13" customHeight="1" spans="1:25">
      <c r="A18" s="33" t="s">
        <v>303</v>
      </c>
      <c r="B18" s="34">
        <v>104</v>
      </c>
      <c r="C18" s="35">
        <v>0.61</v>
      </c>
      <c r="D18" s="35" t="s">
        <v>971</v>
      </c>
      <c r="E18" s="35" t="s">
        <v>972</v>
      </c>
      <c r="F18" s="35">
        <v>103</v>
      </c>
      <c r="G18" s="35">
        <v>0.86</v>
      </c>
      <c r="H18" s="35" t="s">
        <v>973</v>
      </c>
      <c r="I18" s="35" t="s">
        <v>974</v>
      </c>
      <c r="J18" s="35">
        <v>104</v>
      </c>
      <c r="K18" s="35">
        <v>1.1</v>
      </c>
      <c r="L18" s="35" t="s">
        <v>975</v>
      </c>
      <c r="M18" s="35" t="s">
        <v>976</v>
      </c>
      <c r="N18" s="67">
        <v>0.0019</v>
      </c>
      <c r="O18" s="64">
        <v>0.00350710076907426</v>
      </c>
      <c r="P18" s="65">
        <v>0.0963749695223725</v>
      </c>
      <c r="Q18" s="65">
        <v>0.152380315457814</v>
      </c>
      <c r="T18" s="75" t="s">
        <v>303</v>
      </c>
      <c r="U18" s="29" t="str">
        <f t="shared" si="0"/>
        <v>0,61 (0.21; 1.4)</v>
      </c>
      <c r="V18" s="29" t="str">
        <f t="shared" si="1"/>
        <v>0,86 (0.34; 1.4)</v>
      </c>
      <c r="W18" s="29" t="str">
        <f t="shared" si="2"/>
        <v>1,1 (0.58; 2)</v>
      </c>
      <c r="X18" s="70">
        <v>0.00350710076907426</v>
      </c>
      <c r="Y18" s="70">
        <v>0.152380315457814</v>
      </c>
    </row>
    <row r="19" ht="13" spans="1:25">
      <c r="A19" s="33" t="s">
        <v>310</v>
      </c>
      <c r="B19" s="47">
        <v>104</v>
      </c>
      <c r="C19" s="35">
        <v>92.75</v>
      </c>
      <c r="D19" s="35" t="s">
        <v>977</v>
      </c>
      <c r="E19" s="35" t="s">
        <v>978</v>
      </c>
      <c r="F19" s="35">
        <v>103</v>
      </c>
      <c r="G19" s="46">
        <v>89.1</v>
      </c>
      <c r="H19" s="35" t="s">
        <v>979</v>
      </c>
      <c r="I19" s="35" t="s">
        <v>980</v>
      </c>
      <c r="J19" s="35">
        <v>104</v>
      </c>
      <c r="K19" s="35">
        <v>96.75</v>
      </c>
      <c r="L19" s="35" t="s">
        <v>981</v>
      </c>
      <c r="M19" s="35" t="s">
        <v>982</v>
      </c>
      <c r="N19" s="65">
        <v>0.0969</v>
      </c>
      <c r="O19" s="65">
        <v>0.127853098863003</v>
      </c>
      <c r="P19" s="65">
        <v>0.0420640579677032</v>
      </c>
      <c r="Q19" s="65">
        <v>0.0877644079981239</v>
      </c>
      <c r="T19" s="75" t="s">
        <v>983</v>
      </c>
      <c r="U19" s="29" t="str">
        <f t="shared" si="0"/>
        <v>92,75 (76.95; 101.00)</v>
      </c>
      <c r="V19" s="29" t="str">
        <f t="shared" si="1"/>
        <v>89,1 (75.70; 108.00)</v>
      </c>
      <c r="W19" s="29" t="str">
        <f t="shared" si="2"/>
        <v>96,75 (81.18; 115.75)</v>
      </c>
      <c r="X19" s="70">
        <v>0.127853098863003</v>
      </c>
      <c r="Y19" s="70">
        <v>0.0877644079981239</v>
      </c>
    </row>
    <row r="20" ht="13" spans="1:25">
      <c r="A20" s="33" t="s">
        <v>318</v>
      </c>
      <c r="B20" s="47">
        <v>104</v>
      </c>
      <c r="C20" s="35">
        <v>45</v>
      </c>
      <c r="D20" s="35" t="s">
        <v>984</v>
      </c>
      <c r="E20" s="35" t="s">
        <v>694</v>
      </c>
      <c r="F20" s="35">
        <v>103</v>
      </c>
      <c r="G20" s="35">
        <v>43</v>
      </c>
      <c r="H20" s="35" t="s">
        <v>985</v>
      </c>
      <c r="I20" s="35" t="s">
        <v>986</v>
      </c>
      <c r="J20" s="35">
        <v>104</v>
      </c>
      <c r="K20" s="35">
        <v>43</v>
      </c>
      <c r="L20" s="35" t="s">
        <v>693</v>
      </c>
      <c r="M20" s="35" t="s">
        <v>987</v>
      </c>
      <c r="N20" s="65">
        <v>0.6195</v>
      </c>
      <c r="O20" s="66">
        <v>0.729874152305756</v>
      </c>
      <c r="P20" s="66">
        <v>0.116992434399678</v>
      </c>
      <c r="Q20" s="66">
        <v>0.152380315457814</v>
      </c>
      <c r="T20" s="75" t="s">
        <v>24</v>
      </c>
      <c r="U20" s="29" t="str">
        <f t="shared" si="0"/>
        <v>45 (37; 53.75)</v>
      </c>
      <c r="V20" s="29" t="str">
        <f t="shared" si="1"/>
        <v>43 (37; 54)</v>
      </c>
      <c r="W20" s="29" t="str">
        <f t="shared" si="2"/>
        <v>43 (36; 52)</v>
      </c>
      <c r="X20" s="70">
        <v>0.729874152305756</v>
      </c>
      <c r="Y20" s="70">
        <v>0.152380315457814</v>
      </c>
    </row>
    <row r="21" ht="13" spans="1:25">
      <c r="A21" s="33" t="s">
        <v>324</v>
      </c>
      <c r="B21" s="34">
        <v>104</v>
      </c>
      <c r="C21" s="35">
        <v>24.9</v>
      </c>
      <c r="D21" s="35" t="s">
        <v>988</v>
      </c>
      <c r="E21" s="35" t="s">
        <v>989</v>
      </c>
      <c r="F21" s="35">
        <v>103</v>
      </c>
      <c r="G21" s="35">
        <v>24.2</v>
      </c>
      <c r="H21" s="35" t="s">
        <v>990</v>
      </c>
      <c r="I21" s="35" t="s">
        <v>991</v>
      </c>
      <c r="J21" s="35">
        <v>104</v>
      </c>
      <c r="K21" s="35">
        <v>24.5</v>
      </c>
      <c r="L21" s="35" t="s">
        <v>992</v>
      </c>
      <c r="M21" s="35" t="s">
        <v>993</v>
      </c>
      <c r="N21" s="66">
        <v>0.9693</v>
      </c>
      <c r="O21" s="66">
        <v>0.898614532670989</v>
      </c>
      <c r="P21" s="66">
        <v>0.245249090490642</v>
      </c>
      <c r="Q21" s="66">
        <v>0.301445808758332</v>
      </c>
      <c r="T21" s="75" t="s">
        <v>29</v>
      </c>
      <c r="U21" s="29" t="str">
        <f t="shared" si="0"/>
        <v>24,9 (16.85; 34.75)</v>
      </c>
      <c r="V21" s="29" t="str">
        <f t="shared" si="1"/>
        <v>24,2 (16.4; 36)</v>
      </c>
      <c r="W21" s="29" t="str">
        <f t="shared" si="2"/>
        <v>24,5 (17.7; 35.9)</v>
      </c>
      <c r="X21" s="70">
        <v>0.898614532670989</v>
      </c>
      <c r="Y21" s="70">
        <v>0.301445808758332</v>
      </c>
    </row>
    <row r="22" ht="13" spans="1:25">
      <c r="A22" s="33" t="s">
        <v>332</v>
      </c>
      <c r="B22" s="34">
        <v>102</v>
      </c>
      <c r="C22" s="35">
        <v>114</v>
      </c>
      <c r="D22" s="35" t="s">
        <v>994</v>
      </c>
      <c r="E22" s="35" t="s">
        <v>995</v>
      </c>
      <c r="F22" s="35">
        <v>103</v>
      </c>
      <c r="G22" s="35">
        <v>112</v>
      </c>
      <c r="H22" s="35" t="s">
        <v>996</v>
      </c>
      <c r="I22" s="35" t="s">
        <v>997</v>
      </c>
      <c r="J22" s="35">
        <v>102</v>
      </c>
      <c r="K22" s="35">
        <v>112</v>
      </c>
      <c r="L22" s="35" t="s">
        <v>998</v>
      </c>
      <c r="M22" s="35" t="s">
        <v>999</v>
      </c>
      <c r="N22" s="66">
        <v>0.9074</v>
      </c>
      <c r="O22" s="66">
        <v>0.898614532670989</v>
      </c>
      <c r="P22" s="66">
        <v>0.887240703128776</v>
      </c>
      <c r="Q22" s="66">
        <v>0.956155974884157</v>
      </c>
      <c r="T22" s="75" t="s">
        <v>34</v>
      </c>
      <c r="U22" s="29" t="str">
        <f t="shared" si="0"/>
        <v>114 (93.75; 135)</v>
      </c>
      <c r="V22" s="29" t="str">
        <f t="shared" si="1"/>
        <v>112 (95; 133)</v>
      </c>
      <c r="W22" s="29" t="str">
        <f t="shared" si="2"/>
        <v>112 (92.75; 136.8)</v>
      </c>
      <c r="X22" s="70">
        <v>0.898614532670989</v>
      </c>
      <c r="Y22" s="70">
        <v>0.956155974884157</v>
      </c>
    </row>
    <row r="23" ht="13" spans="1:25">
      <c r="A23" s="33" t="s">
        <v>339</v>
      </c>
      <c r="B23" s="34">
        <v>104</v>
      </c>
      <c r="C23" s="35">
        <v>185</v>
      </c>
      <c r="D23" s="35" t="s">
        <v>1000</v>
      </c>
      <c r="E23" s="35" t="s">
        <v>1001</v>
      </c>
      <c r="F23" s="35">
        <v>103</v>
      </c>
      <c r="G23" s="35">
        <v>186</v>
      </c>
      <c r="H23" s="35" t="s">
        <v>1002</v>
      </c>
      <c r="I23" s="35" t="s">
        <v>1003</v>
      </c>
      <c r="J23" s="35">
        <v>104</v>
      </c>
      <c r="K23" s="35">
        <v>183.5</v>
      </c>
      <c r="L23" s="35" t="s">
        <v>1004</v>
      </c>
      <c r="M23" s="35" t="s">
        <v>1005</v>
      </c>
      <c r="N23" s="66">
        <v>0.8179</v>
      </c>
      <c r="O23" s="66">
        <v>0.796354373590979</v>
      </c>
      <c r="P23" s="66">
        <v>0.763314576434607</v>
      </c>
      <c r="Q23" s="66">
        <v>0.887896496881647</v>
      </c>
      <c r="T23" s="75" t="s">
        <v>39</v>
      </c>
      <c r="U23" s="29" t="str">
        <f t="shared" si="0"/>
        <v>185 (165; 209.75)</v>
      </c>
      <c r="V23" s="29" t="str">
        <f t="shared" si="1"/>
        <v>186 (163; 205)</v>
      </c>
      <c r="W23" s="29" t="str">
        <f t="shared" si="2"/>
        <v>183,5 (164; 211.75)</v>
      </c>
      <c r="X23" s="70">
        <v>0.796354373590979</v>
      </c>
      <c r="Y23" s="70">
        <v>0.887896496881647</v>
      </c>
    </row>
    <row r="24" ht="13" spans="1:25">
      <c r="A24" s="33" t="s">
        <v>347</v>
      </c>
      <c r="B24" s="48">
        <v>104</v>
      </c>
      <c r="C24" s="49">
        <v>123.5</v>
      </c>
      <c r="D24" s="49" t="s">
        <v>1006</v>
      </c>
      <c r="E24" s="49" t="s">
        <v>1007</v>
      </c>
      <c r="F24" s="49">
        <v>103</v>
      </c>
      <c r="G24" s="49">
        <v>126</v>
      </c>
      <c r="H24" s="49" t="s">
        <v>1008</v>
      </c>
      <c r="I24" s="49" t="s">
        <v>1009</v>
      </c>
      <c r="J24" s="49">
        <v>104</v>
      </c>
      <c r="K24" s="68">
        <v>124</v>
      </c>
      <c r="L24" s="49" t="s">
        <v>1010</v>
      </c>
      <c r="M24" s="49" t="s">
        <v>1011</v>
      </c>
      <c r="N24" s="66">
        <v>0.9449</v>
      </c>
      <c r="O24" s="66">
        <v>0.874047256131903</v>
      </c>
      <c r="P24" s="66">
        <v>0.151982580050946</v>
      </c>
      <c r="Q24" s="66">
        <v>0.208148365063645</v>
      </c>
      <c r="T24" s="75" t="s">
        <v>44</v>
      </c>
      <c r="U24" s="29" t="str">
        <f t="shared" si="0"/>
        <v>123,5 (82.5; 170.5)</v>
      </c>
      <c r="V24" s="29" t="str">
        <f t="shared" si="1"/>
        <v>126 (82; 176)</v>
      </c>
      <c r="W24" s="29" t="str">
        <f t="shared" si="2"/>
        <v>124 (88.75; 179.5)</v>
      </c>
      <c r="X24" s="70">
        <v>0.874047256131903</v>
      </c>
      <c r="Y24" s="70">
        <v>0.208148365063645</v>
      </c>
    </row>
    <row r="25" ht="13" spans="1:25">
      <c r="A25" s="33" t="s">
        <v>49</v>
      </c>
      <c r="B25" s="34">
        <v>104</v>
      </c>
      <c r="C25" s="35">
        <v>3.99</v>
      </c>
      <c r="D25" s="35" t="s">
        <v>1012</v>
      </c>
      <c r="E25" s="35" t="s">
        <v>1013</v>
      </c>
      <c r="F25" s="35">
        <v>103</v>
      </c>
      <c r="G25" s="35">
        <v>4.07</v>
      </c>
      <c r="H25" s="35" t="s">
        <v>1014</v>
      </c>
      <c r="I25" s="35" t="s">
        <v>1015</v>
      </c>
      <c r="J25" s="35">
        <v>104</v>
      </c>
      <c r="K25" s="35">
        <v>4.31</v>
      </c>
      <c r="L25" s="35" t="s">
        <v>1016</v>
      </c>
      <c r="M25" s="35" t="s">
        <v>1017</v>
      </c>
      <c r="N25" s="66">
        <v>0.7343</v>
      </c>
      <c r="O25" s="66">
        <v>0.796163452157037</v>
      </c>
      <c r="P25" s="66">
        <v>0.106172395430317</v>
      </c>
      <c r="Q25" s="66">
        <v>0.16681014553884</v>
      </c>
      <c r="T25" s="75" t="s">
        <v>49</v>
      </c>
      <c r="U25" s="29" t="str">
        <f t="shared" si="0"/>
        <v>3,99 (3.46; 4.93)</v>
      </c>
      <c r="V25" s="29" t="str">
        <f t="shared" si="1"/>
        <v>4,07 (3.29; 5.27)</v>
      </c>
      <c r="W25" s="29" t="str">
        <f t="shared" si="2"/>
        <v>4,31 (3.38; 5.27)</v>
      </c>
      <c r="X25" s="70">
        <v>0.796163452157037</v>
      </c>
      <c r="Y25" s="70">
        <v>0.16681014553884</v>
      </c>
    </row>
    <row r="26" ht="13" hidden="1" customHeight="1" spans="1:25">
      <c r="A26" s="33" t="s">
        <v>365</v>
      </c>
      <c r="B26" s="34">
        <v>104</v>
      </c>
      <c r="C26" s="35">
        <v>0.41</v>
      </c>
      <c r="D26" s="35" t="s">
        <v>1018</v>
      </c>
      <c r="E26" s="35" t="s">
        <v>1019</v>
      </c>
      <c r="F26" s="35">
        <v>103</v>
      </c>
      <c r="G26" s="35">
        <v>0.46</v>
      </c>
      <c r="H26" s="35" t="s">
        <v>1020</v>
      </c>
      <c r="I26" s="35" t="s">
        <v>1021</v>
      </c>
      <c r="J26" s="35">
        <v>104</v>
      </c>
      <c r="K26" s="35">
        <v>0.45</v>
      </c>
      <c r="L26" s="35" t="s">
        <v>1022</v>
      </c>
      <c r="M26" s="35" t="s">
        <v>1023</v>
      </c>
      <c r="N26" s="66">
        <v>0.8481</v>
      </c>
      <c r="T26" s="75" t="s">
        <v>365</v>
      </c>
      <c r="U26" s="29" t="str">
        <f t="shared" si="0"/>
        <v>0,41 (0.22; 0.69)</v>
      </c>
      <c r="V26" s="29" t="str">
        <f t="shared" si="1"/>
        <v>0,46 (0.24; 0.67)</v>
      </c>
      <c r="W26" s="29" t="str">
        <f t="shared" si="2"/>
        <v>0,45 (0.24; 0.69)</v>
      </c>
      <c r="X26" s="70"/>
      <c r="Y26" s="70"/>
    </row>
    <row r="27" ht="13" hidden="1" spans="1:25">
      <c r="A27" s="33" t="s">
        <v>373</v>
      </c>
      <c r="B27" s="34">
        <v>102</v>
      </c>
      <c r="C27" s="46">
        <v>111.1</v>
      </c>
      <c r="D27" s="35" t="s">
        <v>1024</v>
      </c>
      <c r="E27" s="35" t="s">
        <v>1025</v>
      </c>
      <c r="F27" s="35">
        <v>103</v>
      </c>
      <c r="G27" s="46">
        <v>148.1</v>
      </c>
      <c r="H27" s="35" t="s">
        <v>1026</v>
      </c>
      <c r="I27" s="35" t="s">
        <v>1027</v>
      </c>
      <c r="J27" s="35">
        <v>102</v>
      </c>
      <c r="K27" s="46">
        <v>164</v>
      </c>
      <c r="L27" s="35" t="s">
        <v>1028</v>
      </c>
      <c r="M27" s="35" t="s">
        <v>1029</v>
      </c>
      <c r="N27" s="69">
        <v>0.0004</v>
      </c>
      <c r="O27" s="66">
        <v>0.0940508913146811</v>
      </c>
      <c r="P27" s="66">
        <v>0.118612585721874</v>
      </c>
      <c r="Q27" s="66">
        <v>0.255809934588981</v>
      </c>
      <c r="T27" s="1" t="s">
        <v>1030</v>
      </c>
      <c r="U27" s="29" t="str">
        <f t="shared" si="0"/>
        <v>111,1 (71.53; 177.53)</v>
      </c>
      <c r="V27" s="29" t="str">
        <f t="shared" si="1"/>
        <v>148,1 (98.90; 208.20)</v>
      </c>
      <c r="W27" s="29" t="str">
        <f t="shared" si="2"/>
        <v>164 (106.53; 216.58)</v>
      </c>
      <c r="X27" s="70">
        <v>0.0940508913146811</v>
      </c>
      <c r="Y27" s="70">
        <v>0.255809934588981</v>
      </c>
    </row>
    <row r="28" ht="13" spans="1:25">
      <c r="A28" s="50" t="s">
        <v>380</v>
      </c>
      <c r="B28" s="34">
        <v>104</v>
      </c>
      <c r="C28" s="46">
        <v>1.6</v>
      </c>
      <c r="D28" s="35" t="s">
        <v>1031</v>
      </c>
      <c r="E28" s="35" t="s">
        <v>1032</v>
      </c>
      <c r="F28" s="35">
        <v>103</v>
      </c>
      <c r="G28" s="46">
        <v>2</v>
      </c>
      <c r="H28" s="35" t="s">
        <v>1033</v>
      </c>
      <c r="I28" s="35" t="s">
        <v>1034</v>
      </c>
      <c r="J28" s="35">
        <v>104</v>
      </c>
      <c r="K28" s="46">
        <v>2.065</v>
      </c>
      <c r="L28" s="35" t="s">
        <v>1035</v>
      </c>
      <c r="M28" s="35" t="s">
        <v>1036</v>
      </c>
      <c r="N28" s="67">
        <v>0.0236</v>
      </c>
      <c r="O28" s="66">
        <v>0.0922953295929194</v>
      </c>
      <c r="P28" s="66">
        <v>0.144097084281652</v>
      </c>
      <c r="Q28" s="66">
        <v>0.159871565008564</v>
      </c>
      <c r="T28" s="1" t="s">
        <v>1037</v>
      </c>
      <c r="U28" s="29" t="str">
        <f t="shared" si="0"/>
        <v>1,6 (0.9; 2.85)</v>
      </c>
      <c r="V28" s="29" t="str">
        <f t="shared" si="1"/>
        <v>2 (1.3; 3.5)</v>
      </c>
      <c r="W28" s="29" t="str">
        <f t="shared" si="2"/>
        <v>2,065 (1.3; 4.0825)</v>
      </c>
      <c r="X28" s="70">
        <v>0.0922953295929194</v>
      </c>
      <c r="Y28" s="70">
        <v>0.159871565008564</v>
      </c>
    </row>
    <row r="29" ht="13" spans="1:25">
      <c r="A29" s="33" t="s">
        <v>387</v>
      </c>
      <c r="B29" s="34">
        <v>104</v>
      </c>
      <c r="C29" s="46">
        <v>85</v>
      </c>
      <c r="D29" s="35" t="s">
        <v>763</v>
      </c>
      <c r="E29" s="35" t="s">
        <v>1038</v>
      </c>
      <c r="F29" s="35">
        <v>103</v>
      </c>
      <c r="G29" s="46">
        <v>86</v>
      </c>
      <c r="H29" s="35" t="s">
        <v>1039</v>
      </c>
      <c r="I29" s="35" t="s">
        <v>1040</v>
      </c>
      <c r="J29" s="35">
        <v>104</v>
      </c>
      <c r="K29" s="46">
        <v>86</v>
      </c>
      <c r="L29" s="35" t="s">
        <v>1041</v>
      </c>
      <c r="M29" s="35" t="s">
        <v>1040</v>
      </c>
      <c r="N29" s="66">
        <v>0.6182</v>
      </c>
      <c r="O29" s="66">
        <v>0.874047256131903</v>
      </c>
      <c r="P29" s="66">
        <v>0.419456358663712</v>
      </c>
      <c r="Q29" s="66">
        <v>0.520335292910537</v>
      </c>
      <c r="T29" s="1" t="s">
        <v>1042</v>
      </c>
      <c r="U29" s="29" t="str">
        <f t="shared" si="0"/>
        <v>85 (80; 91)</v>
      </c>
      <c r="V29" s="29" t="str">
        <f t="shared" si="1"/>
        <v>86 (81; 92)</v>
      </c>
      <c r="W29" s="29" t="str">
        <f t="shared" si="2"/>
        <v>86 (81; 93.5)</v>
      </c>
      <c r="X29" s="70">
        <v>0.874047256131903</v>
      </c>
      <c r="Y29" s="70">
        <v>0.520335292910537</v>
      </c>
    </row>
    <row r="30" ht="13" spans="1:25">
      <c r="A30" s="33" t="s">
        <v>394</v>
      </c>
      <c r="B30" s="34">
        <v>104</v>
      </c>
      <c r="C30" s="35">
        <v>9.65</v>
      </c>
      <c r="D30" s="35" t="s">
        <v>1043</v>
      </c>
      <c r="E30" s="35" t="s">
        <v>1044</v>
      </c>
      <c r="F30" s="35">
        <v>103</v>
      </c>
      <c r="G30" s="46">
        <v>10.3</v>
      </c>
      <c r="H30" s="35" t="s">
        <v>1045</v>
      </c>
      <c r="I30" s="35" t="s">
        <v>1046</v>
      </c>
      <c r="J30" s="35">
        <v>104</v>
      </c>
      <c r="K30" s="46" t="s">
        <v>1047</v>
      </c>
      <c r="L30" s="35" t="s">
        <v>1048</v>
      </c>
      <c r="M30" s="35" t="s">
        <v>1049</v>
      </c>
      <c r="N30" s="67">
        <v>0.0136</v>
      </c>
      <c r="O30" s="67">
        <v>0.0234045029976518</v>
      </c>
      <c r="P30" s="66">
        <v>0.0605944115620616</v>
      </c>
      <c r="Q30" s="66">
        <v>0.114881834990855</v>
      </c>
      <c r="T30" s="1" t="s">
        <v>1050</v>
      </c>
      <c r="U30" s="29" t="str">
        <f t="shared" si="0"/>
        <v>9,65 (7.33; 15.5)</v>
      </c>
      <c r="V30" s="29" t="str">
        <f t="shared" si="1"/>
        <v>10,3 (6.97; 15.7)</v>
      </c>
      <c r="W30" s="29" t="str">
        <f t="shared" si="2"/>
        <v>12.10* (8.98; 18.8)</v>
      </c>
      <c r="X30" s="70">
        <v>0.0234045029976518</v>
      </c>
      <c r="Y30" s="70">
        <v>0.114881834990855</v>
      </c>
    </row>
    <row r="31" ht="13" spans="1:25">
      <c r="A31" s="33" t="s">
        <v>401</v>
      </c>
      <c r="B31" s="34">
        <v>104</v>
      </c>
      <c r="C31" s="35">
        <v>5.5</v>
      </c>
      <c r="D31" s="35" t="s">
        <v>1051</v>
      </c>
      <c r="E31" s="35" t="s">
        <v>1052</v>
      </c>
      <c r="F31" s="35">
        <v>103</v>
      </c>
      <c r="G31" s="35">
        <v>5.5</v>
      </c>
      <c r="H31" s="35" t="s">
        <v>1053</v>
      </c>
      <c r="I31" s="35" t="s">
        <v>1054</v>
      </c>
      <c r="J31" s="35">
        <v>104</v>
      </c>
      <c r="K31" s="35">
        <v>5.45</v>
      </c>
      <c r="L31" s="35" t="s">
        <v>771</v>
      </c>
      <c r="M31" s="35" t="s">
        <v>1052</v>
      </c>
      <c r="N31" s="66">
        <v>0.6885</v>
      </c>
      <c r="O31" s="66">
        <v>0.796354373590979</v>
      </c>
      <c r="P31" s="66">
        <v>0.869159489534106</v>
      </c>
      <c r="Q31" s="66">
        <v>0.922146369388062</v>
      </c>
      <c r="T31" s="1" t="s">
        <v>79</v>
      </c>
      <c r="U31" s="29" t="str">
        <f t="shared" si="0"/>
        <v>5,5 (5.22; 5.7)</v>
      </c>
      <c r="V31" s="29" t="str">
        <f t="shared" si="1"/>
        <v>5,5 (5.27; 5.7)</v>
      </c>
      <c r="W31" s="29" t="str">
        <f t="shared" si="2"/>
        <v>5,45 (5.2; 5.7)</v>
      </c>
      <c r="X31" s="70">
        <v>0.796354373590979</v>
      </c>
      <c r="Y31" s="70">
        <v>0.922146369388062</v>
      </c>
    </row>
    <row r="32" ht="13" hidden="1" spans="1:25">
      <c r="A32" s="33" t="s">
        <v>408</v>
      </c>
      <c r="B32" s="34">
        <v>104</v>
      </c>
      <c r="C32" s="35">
        <v>172.58</v>
      </c>
      <c r="D32" s="35" t="s">
        <v>1055</v>
      </c>
      <c r="E32" s="35" t="s">
        <v>1056</v>
      </c>
      <c r="F32" s="35">
        <v>103</v>
      </c>
      <c r="G32" s="35">
        <v>171.57</v>
      </c>
      <c r="H32" s="35" t="s">
        <v>1057</v>
      </c>
      <c r="I32" s="35" t="s">
        <v>1058</v>
      </c>
      <c r="J32" s="35">
        <v>104</v>
      </c>
      <c r="K32" s="35">
        <v>195.76</v>
      </c>
      <c r="L32" s="35" t="s">
        <v>1059</v>
      </c>
      <c r="M32" s="35" t="s">
        <v>1060</v>
      </c>
      <c r="N32" s="66">
        <v>0.1172</v>
      </c>
      <c r="T32" s="1" t="s">
        <v>408</v>
      </c>
      <c r="U32" s="29" t="str">
        <f t="shared" si="0"/>
        <v>172,58 (110.18; 259.07)</v>
      </c>
      <c r="V32" s="29" t="str">
        <f t="shared" si="1"/>
        <v>171,57 (112.83; 253.76)</v>
      </c>
      <c r="W32" s="29" t="str">
        <f t="shared" si="2"/>
        <v>195,76 (135.08; 287.72)</v>
      </c>
      <c r="X32" s="70"/>
      <c r="Y32" s="70"/>
    </row>
    <row r="33" hidden="1" customHeight="1" spans="1:25">
      <c r="A33" s="33" t="s">
        <v>415</v>
      </c>
      <c r="B33" s="34">
        <v>104</v>
      </c>
      <c r="C33" s="35">
        <v>49.54</v>
      </c>
      <c r="D33" s="35" t="s">
        <v>1061</v>
      </c>
      <c r="E33" s="35" t="s">
        <v>1062</v>
      </c>
      <c r="F33" s="35">
        <v>103</v>
      </c>
      <c r="G33" s="35">
        <v>46.49</v>
      </c>
      <c r="H33" s="35" t="s">
        <v>1063</v>
      </c>
      <c r="I33" s="35" t="s">
        <v>1064</v>
      </c>
      <c r="J33" s="35">
        <v>104</v>
      </c>
      <c r="K33" s="35">
        <v>38.71</v>
      </c>
      <c r="L33" s="35" t="s">
        <v>1065</v>
      </c>
      <c r="M33" s="35" t="s">
        <v>1066</v>
      </c>
      <c r="N33" s="67">
        <v>0.0254</v>
      </c>
      <c r="T33" s="1" t="s">
        <v>415</v>
      </c>
      <c r="U33" s="29" t="str">
        <f t="shared" si="0"/>
        <v>49,54 (28.92; 65.92)</v>
      </c>
      <c r="V33" s="29" t="str">
        <f t="shared" si="1"/>
        <v>46,49 (27.2; 70.68)</v>
      </c>
      <c r="W33" s="29" t="str">
        <f t="shared" si="2"/>
        <v>38,71 (25.68; 55.73)</v>
      </c>
      <c r="X33" s="70"/>
      <c r="Y33" s="70"/>
    </row>
    <row r="34" ht="13" spans="1:25">
      <c r="A34" s="33" t="s">
        <v>74</v>
      </c>
      <c r="B34" s="34">
        <v>104</v>
      </c>
      <c r="C34" s="35">
        <v>2.02</v>
      </c>
      <c r="D34" s="35" t="s">
        <v>1067</v>
      </c>
      <c r="E34" s="35" t="s">
        <v>1068</v>
      </c>
      <c r="F34" s="35">
        <v>103</v>
      </c>
      <c r="G34" s="35">
        <v>2.15</v>
      </c>
      <c r="H34" s="35" t="s">
        <v>1069</v>
      </c>
      <c r="I34" s="35" t="s">
        <v>1070</v>
      </c>
      <c r="J34" s="35">
        <v>104</v>
      </c>
      <c r="K34" s="35">
        <v>2.59</v>
      </c>
      <c r="L34" s="35" t="s">
        <v>1071</v>
      </c>
      <c r="M34" s="35" t="s">
        <v>1072</v>
      </c>
      <c r="N34" s="67">
        <v>0.0254</v>
      </c>
      <c r="O34" s="66">
        <v>0.0375401862403429</v>
      </c>
      <c r="P34" s="66">
        <v>0.0535464832797174</v>
      </c>
      <c r="Q34" s="66">
        <v>0.110094693451827</v>
      </c>
      <c r="T34" s="1" t="s">
        <v>74</v>
      </c>
      <c r="U34" s="29" t="str">
        <f t="shared" si="0"/>
        <v>2,02 (1.52; 3.46)</v>
      </c>
      <c r="V34" s="29" t="str">
        <f t="shared" si="1"/>
        <v>2,15 (1.41; 3.68)</v>
      </c>
      <c r="W34" s="29" t="str">
        <f t="shared" si="2"/>
        <v>2,59 (1.79; 3.89)</v>
      </c>
      <c r="X34" s="70">
        <v>0.0375401862403429</v>
      </c>
      <c r="Y34" s="70">
        <v>0.110094693451827</v>
      </c>
    </row>
    <row r="35" ht="13" spans="1:25">
      <c r="A35" s="33" t="s">
        <v>428</v>
      </c>
      <c r="B35" s="34">
        <v>104</v>
      </c>
      <c r="C35" s="35">
        <v>0.343</v>
      </c>
      <c r="D35" s="35" t="s">
        <v>1073</v>
      </c>
      <c r="E35" s="35" t="s">
        <v>1074</v>
      </c>
      <c r="F35" s="35">
        <v>103</v>
      </c>
      <c r="G35" s="35">
        <v>0.34</v>
      </c>
      <c r="H35" s="35" t="s">
        <v>1075</v>
      </c>
      <c r="I35" s="35" t="s">
        <v>1076</v>
      </c>
      <c r="J35" s="35">
        <v>104</v>
      </c>
      <c r="K35" s="35">
        <v>0.331</v>
      </c>
      <c r="L35" s="35" t="s">
        <v>1077</v>
      </c>
      <c r="M35" s="35" t="s">
        <v>1078</v>
      </c>
      <c r="N35" s="67">
        <v>0.0254</v>
      </c>
      <c r="T35" s="1" t="s">
        <v>428</v>
      </c>
      <c r="U35" s="29" t="str">
        <f t="shared" si="0"/>
        <v>0,343 (0.317; 0.358)</v>
      </c>
      <c r="V35" s="29" t="str">
        <f t="shared" si="1"/>
        <v>0,34 (0.315; 0.362)</v>
      </c>
      <c r="W35" s="29" t="str">
        <f t="shared" si="2"/>
        <v>0,331 (0.312; 0.349)</v>
      </c>
      <c r="X35" s="70"/>
      <c r="Y35" s="70"/>
    </row>
    <row r="36" ht="13" spans="1:25">
      <c r="A36" s="33" t="s">
        <v>435</v>
      </c>
      <c r="B36" s="34">
        <v>104</v>
      </c>
      <c r="C36" s="35">
        <v>123.5</v>
      </c>
      <c r="D36" s="35" t="s">
        <v>1079</v>
      </c>
      <c r="E36" s="35" t="s">
        <v>1080</v>
      </c>
      <c r="F36" s="35">
        <v>102</v>
      </c>
      <c r="G36" s="35">
        <v>122.5</v>
      </c>
      <c r="H36" s="35" t="s">
        <v>1081</v>
      </c>
      <c r="I36" s="35" t="s">
        <v>1082</v>
      </c>
      <c r="J36" s="35">
        <v>104</v>
      </c>
      <c r="K36" s="35">
        <v>121</v>
      </c>
      <c r="L36" s="35" t="s">
        <v>1083</v>
      </c>
      <c r="M36" s="35" t="s">
        <v>1084</v>
      </c>
      <c r="N36" s="66">
        <v>0.5196</v>
      </c>
      <c r="O36" s="66">
        <v>0.564963206472892</v>
      </c>
      <c r="P36" s="66">
        <v>0.83478523031207</v>
      </c>
      <c r="Q36" s="66">
        <v>0.948212180141805</v>
      </c>
      <c r="T36" s="1" t="s">
        <v>54</v>
      </c>
      <c r="U36" s="29" t="str">
        <f t="shared" si="0"/>
        <v>123,5 (113; 136)</v>
      </c>
      <c r="V36" s="29" t="str">
        <f t="shared" si="1"/>
        <v>122,5 (108; 135)</v>
      </c>
      <c r="W36" s="29" t="str">
        <f t="shared" si="2"/>
        <v>121 (109; 134)</v>
      </c>
      <c r="X36" s="70">
        <v>0.564963206472892</v>
      </c>
      <c r="Y36" s="70">
        <v>0.948212180141805</v>
      </c>
    </row>
    <row r="37" ht="13" spans="1:25">
      <c r="A37" s="33" t="s">
        <v>442</v>
      </c>
      <c r="B37" s="34">
        <v>104</v>
      </c>
      <c r="C37" s="35">
        <v>80</v>
      </c>
      <c r="D37" s="35" t="s">
        <v>61</v>
      </c>
      <c r="E37" s="35" t="s">
        <v>1085</v>
      </c>
      <c r="F37" s="35">
        <v>103</v>
      </c>
      <c r="G37" s="35">
        <v>79</v>
      </c>
      <c r="H37" s="35" t="s">
        <v>1086</v>
      </c>
      <c r="I37" s="35" t="s">
        <v>1087</v>
      </c>
      <c r="J37" s="35">
        <v>104</v>
      </c>
      <c r="K37" s="35">
        <v>78.5</v>
      </c>
      <c r="L37" s="35" t="s">
        <v>1088</v>
      </c>
      <c r="M37" s="35" t="s">
        <v>798</v>
      </c>
      <c r="N37" s="66">
        <v>0.7115</v>
      </c>
      <c r="O37" s="66">
        <v>0.796354373590979</v>
      </c>
      <c r="P37" s="66">
        <v>0.869159489534106</v>
      </c>
      <c r="Q37" s="66">
        <v>0.948212180141805</v>
      </c>
      <c r="T37" s="1" t="s">
        <v>59</v>
      </c>
      <c r="U37" s="29" t="str">
        <f t="shared" si="0"/>
        <v>80 (71.0; 87.0)</v>
      </c>
      <c r="V37" s="29" t="str">
        <f t="shared" si="1"/>
        <v>79 (70.0; 88.0)</v>
      </c>
      <c r="W37" s="29" t="str">
        <f t="shared" si="2"/>
        <v>78,5 (70.25; 87.75)</v>
      </c>
      <c r="X37" s="70">
        <v>0.796354373590979</v>
      </c>
      <c r="Y37" s="70">
        <v>0.948212180141805</v>
      </c>
    </row>
    <row r="38" ht="13" spans="1:23">
      <c r="A38" s="33" t="s">
        <v>449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35"/>
      <c r="T38" s="1" t="s">
        <v>449</v>
      </c>
      <c r="U38" s="29" t="str">
        <f t="shared" si="0"/>
        <v> ()</v>
      </c>
      <c r="V38" s="29" t="str">
        <f t="shared" si="1"/>
        <v> ()</v>
      </c>
      <c r="W38" s="29" t="str">
        <f t="shared" si="2"/>
        <v> ()</v>
      </c>
    </row>
    <row r="39" ht="13" spans="1:23">
      <c r="A39" s="38" t="s">
        <v>450</v>
      </c>
      <c r="B39" s="34">
        <v>104</v>
      </c>
      <c r="C39" s="35">
        <v>1982.31</v>
      </c>
      <c r="D39" s="35" t="s">
        <v>1089</v>
      </c>
      <c r="E39" s="35" t="s">
        <v>1090</v>
      </c>
      <c r="F39" s="35">
        <v>103</v>
      </c>
      <c r="G39" s="35">
        <v>1919.63</v>
      </c>
      <c r="H39" s="35" t="s">
        <v>1091</v>
      </c>
      <c r="I39" s="35" t="s">
        <v>1092</v>
      </c>
      <c r="J39" s="35">
        <v>104</v>
      </c>
      <c r="K39" s="35">
        <v>1884.73</v>
      </c>
      <c r="L39" s="35" t="s">
        <v>1093</v>
      </c>
      <c r="M39" s="35" t="s">
        <v>1094</v>
      </c>
      <c r="N39" s="66">
        <v>0.2608</v>
      </c>
      <c r="T39" s="1" t="s">
        <v>450</v>
      </c>
      <c r="U39" s="29" t="str">
        <f t="shared" si="0"/>
        <v>1982,31 (1763.82; 2187.29)</v>
      </c>
      <c r="V39" s="29" t="str">
        <f t="shared" si="1"/>
        <v>1919,63 (1762.65; 2138.69)</v>
      </c>
      <c r="W39" s="29" t="str">
        <f t="shared" si="2"/>
        <v>1884,73 (1742.46; 2116.84)</v>
      </c>
    </row>
    <row r="40" ht="13" spans="1:23">
      <c r="A40" s="38" t="s">
        <v>457</v>
      </c>
      <c r="B40" s="34">
        <v>104</v>
      </c>
      <c r="C40" s="46">
        <v>20.6</v>
      </c>
      <c r="D40" s="35" t="s">
        <v>1095</v>
      </c>
      <c r="E40" s="35" t="s">
        <v>1096</v>
      </c>
      <c r="F40" s="35">
        <v>103</v>
      </c>
      <c r="G40" s="35">
        <v>17.45</v>
      </c>
      <c r="H40" s="35" t="s">
        <v>1097</v>
      </c>
      <c r="I40" s="35" t="s">
        <v>1098</v>
      </c>
      <c r="J40" s="35">
        <v>104</v>
      </c>
      <c r="K40" s="35">
        <v>14.01</v>
      </c>
      <c r="L40" s="35" t="s">
        <v>1099</v>
      </c>
      <c r="M40" s="35" t="s">
        <v>1100</v>
      </c>
      <c r="N40" s="67" t="s">
        <v>243</v>
      </c>
      <c r="O40" s="60"/>
      <c r="P40" s="60"/>
      <c r="Q40" s="60"/>
      <c r="T40" s="1" t="s">
        <v>457</v>
      </c>
      <c r="U40" s="29" t="str">
        <f t="shared" si="0"/>
        <v>20,6 (18.03; 23.61)</v>
      </c>
      <c r="V40" s="29" t="str">
        <f t="shared" si="1"/>
        <v>17,45 (16.15; 19.96)</v>
      </c>
      <c r="W40" s="29" t="str">
        <f t="shared" si="2"/>
        <v>14,01 (12.39; 16.49)</v>
      </c>
    </row>
    <row r="41" spans="1:23">
      <c r="A41" s="38" t="s">
        <v>464</v>
      </c>
      <c r="B41" s="47">
        <v>104</v>
      </c>
      <c r="C41" s="35">
        <v>650.82</v>
      </c>
      <c r="D41" s="35" t="s">
        <v>1101</v>
      </c>
      <c r="E41" s="35" t="s">
        <v>1102</v>
      </c>
      <c r="F41" s="35">
        <v>103</v>
      </c>
      <c r="G41" s="35">
        <v>619.47</v>
      </c>
      <c r="H41" s="35" t="s">
        <v>1103</v>
      </c>
      <c r="I41" s="35" t="s">
        <v>1104</v>
      </c>
      <c r="J41" s="35">
        <v>104</v>
      </c>
      <c r="K41" s="35">
        <v>561.73</v>
      </c>
      <c r="L41" s="35" t="s">
        <v>1105</v>
      </c>
      <c r="M41" s="35" t="s">
        <v>1106</v>
      </c>
      <c r="N41" s="66">
        <v>0.0586</v>
      </c>
      <c r="O41" s="70"/>
      <c r="P41" s="70"/>
      <c r="Q41" s="70"/>
      <c r="T41" s="1" t="s">
        <v>464</v>
      </c>
      <c r="U41" s="29" t="str">
        <f t="shared" si="0"/>
        <v>650,82 (508.29; 779.61)</v>
      </c>
      <c r="V41" s="29" t="str">
        <f t="shared" si="1"/>
        <v>619,47 (492.23; 789.88)</v>
      </c>
      <c r="W41" s="29" t="str">
        <f t="shared" si="2"/>
        <v>561,73 (414.82; 745.54)</v>
      </c>
    </row>
    <row r="42" ht="13" spans="1:23">
      <c r="A42" s="38" t="s">
        <v>471</v>
      </c>
      <c r="B42" s="47">
        <v>104</v>
      </c>
      <c r="C42" s="46">
        <v>1083</v>
      </c>
      <c r="D42" s="35" t="s">
        <v>1107</v>
      </c>
      <c r="E42" s="35" t="s">
        <v>1108</v>
      </c>
      <c r="F42" s="35">
        <v>103</v>
      </c>
      <c r="G42" s="46">
        <v>1039.7</v>
      </c>
      <c r="H42" s="35" t="s">
        <v>1109</v>
      </c>
      <c r="I42" s="35" t="s">
        <v>1110</v>
      </c>
      <c r="J42" s="35">
        <v>104</v>
      </c>
      <c r="K42" s="35">
        <v>960.37</v>
      </c>
      <c r="L42" s="35" t="s">
        <v>1111</v>
      </c>
      <c r="M42" s="35" t="s">
        <v>1112</v>
      </c>
      <c r="N42" s="67">
        <v>0.0002</v>
      </c>
      <c r="O42" s="71"/>
      <c r="P42" s="71"/>
      <c r="Q42" s="71"/>
      <c r="T42" s="1" t="s">
        <v>471</v>
      </c>
      <c r="U42" s="29" t="str">
        <f t="shared" si="0"/>
        <v>1083 (963.72; 1162.10)</v>
      </c>
      <c r="V42" s="29" t="str">
        <f t="shared" si="1"/>
        <v>1039,7 (931.22; 1158.10)</v>
      </c>
      <c r="W42" s="29" t="str">
        <f t="shared" si="2"/>
        <v>960,37 (830.75; 1091.30)</v>
      </c>
    </row>
    <row r="43" ht="13" spans="1:23">
      <c r="A43" s="38" t="s">
        <v>478</v>
      </c>
      <c r="B43" s="47">
        <v>104</v>
      </c>
      <c r="C43" s="35">
        <v>14.22</v>
      </c>
      <c r="D43" s="35" t="s">
        <v>1113</v>
      </c>
      <c r="E43" s="35" t="s">
        <v>1114</v>
      </c>
      <c r="F43" s="35">
        <v>103</v>
      </c>
      <c r="G43" s="35">
        <v>13.52</v>
      </c>
      <c r="H43" s="35" t="s">
        <v>1115</v>
      </c>
      <c r="I43" s="35" t="s">
        <v>1116</v>
      </c>
      <c r="J43" s="35">
        <v>104</v>
      </c>
      <c r="K43" s="35">
        <v>12.48</v>
      </c>
      <c r="L43" s="35" t="s">
        <v>1117</v>
      </c>
      <c r="M43" s="35" t="s">
        <v>1118</v>
      </c>
      <c r="N43" s="67" t="s">
        <v>243</v>
      </c>
      <c r="O43" s="71"/>
      <c r="P43" s="71"/>
      <c r="Q43" s="71"/>
      <c r="T43" s="1" t="s">
        <v>478</v>
      </c>
      <c r="U43" s="29" t="str">
        <f t="shared" si="0"/>
        <v>14,22 (13.3; 15.29)</v>
      </c>
      <c r="V43" s="29" t="str">
        <f t="shared" si="1"/>
        <v>13,52 (12.55; 14.55)</v>
      </c>
      <c r="W43" s="29" t="str">
        <f t="shared" si="2"/>
        <v>12,48 (11.49; 13.51)</v>
      </c>
    </row>
    <row r="44" spans="1:23">
      <c r="A44" s="38" t="s">
        <v>485</v>
      </c>
      <c r="B44" s="47">
        <v>104</v>
      </c>
      <c r="C44" s="35">
        <v>1240.42</v>
      </c>
      <c r="D44" s="35" t="s">
        <v>1119</v>
      </c>
      <c r="E44" s="35" t="s">
        <v>1120</v>
      </c>
      <c r="F44" s="35">
        <v>103</v>
      </c>
      <c r="G44" s="35">
        <v>1270.84</v>
      </c>
      <c r="H44" s="35" t="s">
        <v>1121</v>
      </c>
      <c r="I44" s="35" t="s">
        <v>1122</v>
      </c>
      <c r="J44" s="35">
        <v>104</v>
      </c>
      <c r="K44" s="35">
        <v>1270.65</v>
      </c>
      <c r="L44" s="35" t="s">
        <v>1123</v>
      </c>
      <c r="M44" s="35" t="s">
        <v>1124</v>
      </c>
      <c r="N44" s="66">
        <v>0.9357</v>
      </c>
      <c r="O44" s="70"/>
      <c r="P44" s="70"/>
      <c r="Q44" s="70"/>
      <c r="T44" s="1" t="s">
        <v>485</v>
      </c>
      <c r="U44" s="29" t="str">
        <f t="shared" si="0"/>
        <v>1240,42 (1130.06; 1511.51)</v>
      </c>
      <c r="V44" s="29" t="str">
        <f t="shared" si="1"/>
        <v>1270,84 (1048.6; 1515.91)</v>
      </c>
      <c r="W44" s="29" t="str">
        <f t="shared" si="2"/>
        <v>1270,65 (1078.86; 1476.36)</v>
      </c>
    </row>
    <row r="45" ht="13" spans="1:23">
      <c r="A45" s="38" t="s">
        <v>492</v>
      </c>
      <c r="B45" s="47">
        <v>104</v>
      </c>
      <c r="C45" s="35">
        <v>3405.78</v>
      </c>
      <c r="D45" s="35" t="s">
        <v>1125</v>
      </c>
      <c r="E45" s="35" t="s">
        <v>1126</v>
      </c>
      <c r="F45" s="35">
        <v>103</v>
      </c>
      <c r="G45" s="35">
        <v>2974.73</v>
      </c>
      <c r="H45" s="35" t="s">
        <v>1127</v>
      </c>
      <c r="I45" s="35" t="s">
        <v>1128</v>
      </c>
      <c r="J45" s="35">
        <v>104</v>
      </c>
      <c r="K45" s="35">
        <v>2710.82</v>
      </c>
      <c r="L45" s="35" t="s">
        <v>1129</v>
      </c>
      <c r="M45" s="35" t="s">
        <v>1130</v>
      </c>
      <c r="N45" s="67" t="s">
        <v>243</v>
      </c>
      <c r="O45" s="71"/>
      <c r="P45" s="71"/>
      <c r="Q45" s="71"/>
      <c r="T45" s="1" t="s">
        <v>492</v>
      </c>
      <c r="U45" s="29" t="str">
        <f t="shared" si="0"/>
        <v>3405,78 (3039.3; 3795.52)</v>
      </c>
      <c r="V45" s="29" t="str">
        <f t="shared" si="1"/>
        <v>2974,73 (2690.76; 3342.14)</v>
      </c>
      <c r="W45" s="29" t="str">
        <f t="shared" si="2"/>
        <v>2710,82 (2328.35; 3109.23)</v>
      </c>
    </row>
    <row r="46" ht="13" spans="1:23">
      <c r="A46" s="38" t="s">
        <v>499</v>
      </c>
      <c r="B46" s="47">
        <v>104</v>
      </c>
      <c r="C46" s="35">
        <v>258.01</v>
      </c>
      <c r="D46" s="35" t="s">
        <v>1131</v>
      </c>
      <c r="E46" s="35" t="s">
        <v>1132</v>
      </c>
      <c r="F46" s="35">
        <v>103</v>
      </c>
      <c r="G46" s="35">
        <v>238.38</v>
      </c>
      <c r="H46" s="35" t="s">
        <v>1133</v>
      </c>
      <c r="I46" s="35" t="s">
        <v>1134</v>
      </c>
      <c r="J46" s="35">
        <v>104</v>
      </c>
      <c r="K46" s="35">
        <v>213.97</v>
      </c>
      <c r="L46" s="35" t="s">
        <v>1135</v>
      </c>
      <c r="M46" s="35" t="s">
        <v>1136</v>
      </c>
      <c r="N46" s="67" t="s">
        <v>243</v>
      </c>
      <c r="O46" s="71"/>
      <c r="P46" s="71"/>
      <c r="Q46" s="71"/>
      <c r="T46" s="1" t="s">
        <v>499</v>
      </c>
      <c r="U46" s="29" t="str">
        <f t="shared" si="0"/>
        <v>258,01 (241.37; 288.4)</v>
      </c>
      <c r="V46" s="29" t="str">
        <f t="shared" si="1"/>
        <v>238,38 (220.6; 259.45)</v>
      </c>
      <c r="W46" s="29" t="str">
        <f t="shared" si="2"/>
        <v>213,97 (190.27; 239.98)</v>
      </c>
    </row>
    <row r="47" ht="13" spans="1:23">
      <c r="A47" s="38" t="s">
        <v>506</v>
      </c>
      <c r="B47" s="47">
        <v>104</v>
      </c>
      <c r="C47" s="35">
        <v>10.49</v>
      </c>
      <c r="D47" s="35" t="s">
        <v>1137</v>
      </c>
      <c r="E47" s="35" t="s">
        <v>1138</v>
      </c>
      <c r="F47" s="35">
        <v>103</v>
      </c>
      <c r="G47" s="35">
        <v>10.44</v>
      </c>
      <c r="H47" s="35" t="s">
        <v>1139</v>
      </c>
      <c r="I47" s="35" t="s">
        <v>1140</v>
      </c>
      <c r="J47" s="35">
        <v>104</v>
      </c>
      <c r="K47" s="35">
        <v>10.24</v>
      </c>
      <c r="L47" s="35" t="s">
        <v>1141</v>
      </c>
      <c r="M47" s="35" t="s">
        <v>1142</v>
      </c>
      <c r="N47" s="67">
        <v>0.0025</v>
      </c>
      <c r="O47" s="70"/>
      <c r="P47" s="70"/>
      <c r="Q47" s="70"/>
      <c r="T47" s="1" t="s">
        <v>506</v>
      </c>
      <c r="U47" s="29" t="str">
        <f t="shared" si="0"/>
        <v>10,49 (10.11; 10.92)</v>
      </c>
      <c r="V47" s="29" t="str">
        <f t="shared" si="1"/>
        <v>10,44 (10.02; 10.83)</v>
      </c>
      <c r="W47" s="29" t="str">
        <f t="shared" si="2"/>
        <v>10,24 (9.833; 10.63)</v>
      </c>
    </row>
    <row r="48" ht="13" spans="1:23">
      <c r="A48" s="38" t="s">
        <v>513</v>
      </c>
      <c r="B48" s="47">
        <v>104</v>
      </c>
      <c r="C48" s="35">
        <v>1.83</v>
      </c>
      <c r="D48" s="35" t="s">
        <v>1143</v>
      </c>
      <c r="E48" s="35" t="s">
        <v>1144</v>
      </c>
      <c r="F48" s="35">
        <v>103</v>
      </c>
      <c r="G48" s="35">
        <v>1.43</v>
      </c>
      <c r="H48" s="35" t="s">
        <v>1145</v>
      </c>
      <c r="I48" s="35" t="s">
        <v>1146</v>
      </c>
      <c r="J48" s="35">
        <v>104</v>
      </c>
      <c r="K48" s="35">
        <v>1.16</v>
      </c>
      <c r="L48" s="35" t="s">
        <v>1147</v>
      </c>
      <c r="M48" s="35" t="s">
        <v>1148</v>
      </c>
      <c r="N48" s="67" t="s">
        <v>243</v>
      </c>
      <c r="O48" s="71"/>
      <c r="P48" s="71"/>
      <c r="Q48" s="71"/>
      <c r="T48" s="1" t="s">
        <v>513</v>
      </c>
      <c r="U48" s="29" t="str">
        <f t="shared" si="0"/>
        <v>1,83 (1.45; 2.51)</v>
      </c>
      <c r="V48" s="29" t="str">
        <f t="shared" si="1"/>
        <v>1,43 (1.26; 1.7)</v>
      </c>
      <c r="W48" s="29" t="str">
        <f t="shared" si="2"/>
        <v>1,16 (1.00; 1.42)</v>
      </c>
    </row>
    <row r="49" ht="13" spans="1:23">
      <c r="A49" s="38" t="s">
        <v>520</v>
      </c>
      <c r="B49" s="47">
        <v>104</v>
      </c>
      <c r="C49" s="35">
        <v>3.3</v>
      </c>
      <c r="D49" s="35" t="s">
        <v>1149</v>
      </c>
      <c r="E49" s="35" t="s">
        <v>1150</v>
      </c>
      <c r="F49" s="35">
        <v>103</v>
      </c>
      <c r="G49" s="35">
        <v>3.12</v>
      </c>
      <c r="H49" s="35" t="s">
        <v>1151</v>
      </c>
      <c r="I49" s="35" t="s">
        <v>1152</v>
      </c>
      <c r="J49" s="35">
        <v>104</v>
      </c>
      <c r="K49" s="35">
        <v>2.92</v>
      </c>
      <c r="L49" s="35" t="s">
        <v>1153</v>
      </c>
      <c r="M49" s="35" t="s">
        <v>1154</v>
      </c>
      <c r="N49" s="67" t="s">
        <v>243</v>
      </c>
      <c r="O49" s="71"/>
      <c r="P49" s="71"/>
      <c r="Q49" s="71"/>
      <c r="T49" s="1" t="s">
        <v>520</v>
      </c>
      <c r="U49" s="29" t="str">
        <f t="shared" si="0"/>
        <v>3,3 (3.08; 3.58)</v>
      </c>
      <c r="V49" s="29" t="str">
        <f t="shared" si="1"/>
        <v>3,12 (2.91; 3.39)</v>
      </c>
      <c r="W49" s="29" t="str">
        <f t="shared" si="2"/>
        <v>2,92 (2.57; 3.17)</v>
      </c>
    </row>
    <row r="50" ht="13" spans="1:23">
      <c r="A50" s="38" t="s">
        <v>527</v>
      </c>
      <c r="B50" s="47">
        <v>104</v>
      </c>
      <c r="C50" s="35">
        <v>889.44</v>
      </c>
      <c r="D50" s="35" t="s">
        <v>1155</v>
      </c>
      <c r="E50" s="35" t="s">
        <v>1156</v>
      </c>
      <c r="F50" s="35">
        <v>103</v>
      </c>
      <c r="G50" s="35">
        <v>811.62</v>
      </c>
      <c r="H50" s="35" t="s">
        <v>1157</v>
      </c>
      <c r="I50" s="35" t="s">
        <v>1158</v>
      </c>
      <c r="J50" s="35">
        <v>104</v>
      </c>
      <c r="K50" s="35">
        <v>714.23</v>
      </c>
      <c r="L50" s="35" t="s">
        <v>1159</v>
      </c>
      <c r="M50" s="35" t="s">
        <v>1160</v>
      </c>
      <c r="N50" s="67" t="s">
        <v>243</v>
      </c>
      <c r="O50" s="71"/>
      <c r="P50" s="71"/>
      <c r="Q50" s="71"/>
      <c r="T50" s="1" t="s">
        <v>527</v>
      </c>
      <c r="U50" s="29" t="str">
        <f t="shared" si="0"/>
        <v>889,44 (774.51; 999.9)</v>
      </c>
      <c r="V50" s="29" t="str">
        <f t="shared" si="1"/>
        <v>811,62 (723.2; 913.11)</v>
      </c>
      <c r="W50" s="29" t="str">
        <f t="shared" si="2"/>
        <v>714,23 (611.18; 809.41)</v>
      </c>
    </row>
    <row r="51" ht="13" spans="1:23">
      <c r="A51" s="38" t="s">
        <v>534</v>
      </c>
      <c r="B51" s="47">
        <v>104</v>
      </c>
      <c r="C51" s="35">
        <v>1.26</v>
      </c>
      <c r="D51" s="35" t="s">
        <v>1161</v>
      </c>
      <c r="E51" s="35" t="s">
        <v>1162</v>
      </c>
      <c r="F51" s="35">
        <v>103</v>
      </c>
      <c r="G51" s="35">
        <v>1.09</v>
      </c>
      <c r="H51" s="35" t="s">
        <v>1163</v>
      </c>
      <c r="I51" s="35" t="s">
        <v>1164</v>
      </c>
      <c r="J51" s="35">
        <v>104</v>
      </c>
      <c r="K51" s="35">
        <v>0.939</v>
      </c>
      <c r="L51" s="35" t="s">
        <v>1165</v>
      </c>
      <c r="M51" s="35" t="s">
        <v>1166</v>
      </c>
      <c r="N51" s="67" t="s">
        <v>243</v>
      </c>
      <c r="O51" s="71"/>
      <c r="P51" s="71"/>
      <c r="Q51" s="71"/>
      <c r="T51" s="1" t="s">
        <v>534</v>
      </c>
      <c r="U51" s="29" t="str">
        <f t="shared" si="0"/>
        <v>1,26 (1.08; 1.45)</v>
      </c>
      <c r="V51" s="29" t="str">
        <f t="shared" si="1"/>
        <v>1,09 (0.969; 1.31)</v>
      </c>
      <c r="W51" s="29" t="str">
        <f t="shared" si="2"/>
        <v>0,939 (0.834; 1.14)</v>
      </c>
    </row>
    <row r="52" ht="13" spans="1:23">
      <c r="A52" s="38" t="s">
        <v>541</v>
      </c>
      <c r="B52" s="47">
        <v>104</v>
      </c>
      <c r="C52" s="46">
        <v>1.8</v>
      </c>
      <c r="D52" s="35" t="s">
        <v>1167</v>
      </c>
      <c r="E52" s="35" t="s">
        <v>1168</v>
      </c>
      <c r="F52" s="35">
        <v>103</v>
      </c>
      <c r="G52" s="35">
        <v>1.67</v>
      </c>
      <c r="H52" s="35" t="s">
        <v>1169</v>
      </c>
      <c r="I52" s="35" t="s">
        <v>1170</v>
      </c>
      <c r="J52" s="35">
        <v>104</v>
      </c>
      <c r="K52" s="35">
        <v>1.55</v>
      </c>
      <c r="L52" s="35" t="s">
        <v>1171</v>
      </c>
      <c r="M52" s="35" t="s">
        <v>1172</v>
      </c>
      <c r="N52" s="69">
        <v>0.0001</v>
      </c>
      <c r="O52" s="71"/>
      <c r="P52" s="71"/>
      <c r="Q52" s="71"/>
      <c r="T52" s="1" t="s">
        <v>541</v>
      </c>
      <c r="U52" s="29" t="str">
        <f t="shared" si="0"/>
        <v>1,8 (1.55; 2.15)</v>
      </c>
      <c r="V52" s="29" t="str">
        <f t="shared" si="1"/>
        <v>1,67 (1.43; 2.04)</v>
      </c>
      <c r="W52" s="29" t="str">
        <f t="shared" si="2"/>
        <v>1,55 (1.35; 1.89)</v>
      </c>
    </row>
    <row r="53" ht="13" spans="1:23">
      <c r="A53" s="38" t="s">
        <v>548</v>
      </c>
      <c r="B53" s="47">
        <v>104</v>
      </c>
      <c r="C53" s="35">
        <v>17.62</v>
      </c>
      <c r="D53" s="35" t="s">
        <v>1173</v>
      </c>
      <c r="E53" s="35" t="s">
        <v>1174</v>
      </c>
      <c r="F53" s="35">
        <v>103</v>
      </c>
      <c r="G53" s="35">
        <v>15.51</v>
      </c>
      <c r="H53" s="35" t="s">
        <v>1175</v>
      </c>
      <c r="I53" s="35" t="s">
        <v>1176</v>
      </c>
      <c r="J53" s="35">
        <v>104</v>
      </c>
      <c r="K53" s="35">
        <v>14.15</v>
      </c>
      <c r="L53" s="35" t="s">
        <v>1177</v>
      </c>
      <c r="M53" s="35" t="s">
        <v>1178</v>
      </c>
      <c r="N53" s="67" t="s">
        <v>243</v>
      </c>
      <c r="O53" s="71"/>
      <c r="P53" s="71"/>
      <c r="Q53" s="71"/>
      <c r="T53" s="1" t="s">
        <v>548</v>
      </c>
      <c r="U53" s="29" t="str">
        <f t="shared" si="0"/>
        <v>17,62 (15.02; 21.01)</v>
      </c>
      <c r="V53" s="29" t="str">
        <f t="shared" si="1"/>
        <v>15,51 (13.66; 18.5)</v>
      </c>
      <c r="W53" s="29" t="str">
        <f t="shared" si="2"/>
        <v>14,15 (12.71; 16.09)</v>
      </c>
    </row>
    <row r="54" ht="13" spans="1:23">
      <c r="A54" s="38" t="s">
        <v>555</v>
      </c>
      <c r="B54" s="47">
        <v>104</v>
      </c>
      <c r="C54" s="35">
        <v>5.09</v>
      </c>
      <c r="D54" s="35" t="s">
        <v>1179</v>
      </c>
      <c r="E54" s="35" t="s">
        <v>1180</v>
      </c>
      <c r="F54" s="35">
        <v>103</v>
      </c>
      <c r="G54" s="35">
        <v>4.9</v>
      </c>
      <c r="H54" s="35" t="s">
        <v>1181</v>
      </c>
      <c r="I54" s="35" t="s">
        <v>1182</v>
      </c>
      <c r="J54" s="35">
        <v>104</v>
      </c>
      <c r="K54" s="35">
        <v>4.59</v>
      </c>
      <c r="L54" s="35" t="s">
        <v>1183</v>
      </c>
      <c r="M54" s="35" t="s">
        <v>1184</v>
      </c>
      <c r="N54" s="67" t="s">
        <v>243</v>
      </c>
      <c r="O54" s="71"/>
      <c r="P54" s="71"/>
      <c r="Q54" s="71"/>
      <c r="T54" s="1" t="s">
        <v>555</v>
      </c>
      <c r="U54" s="29" t="str">
        <f t="shared" si="0"/>
        <v>5,09 (4.65; 5.64)</v>
      </c>
      <c r="V54" s="29" t="str">
        <f t="shared" si="1"/>
        <v>4,9 (4.47; 5.26)</v>
      </c>
      <c r="W54" s="29" t="str">
        <f t="shared" si="2"/>
        <v>4,59 (4.12; 4.95)</v>
      </c>
    </row>
    <row r="55" ht="13" spans="1:23">
      <c r="A55" s="38" t="s">
        <v>562</v>
      </c>
      <c r="B55" s="47">
        <v>104</v>
      </c>
      <c r="C55" s="35">
        <v>1.65</v>
      </c>
      <c r="D55" s="35" t="s">
        <v>1185</v>
      </c>
      <c r="E55" s="35" t="s">
        <v>1186</v>
      </c>
      <c r="F55" s="35">
        <v>103</v>
      </c>
      <c r="G55" s="35">
        <v>1.38</v>
      </c>
      <c r="H55" s="35" t="s">
        <v>1187</v>
      </c>
      <c r="I55" s="35" t="s">
        <v>1188</v>
      </c>
      <c r="J55" s="35">
        <v>104</v>
      </c>
      <c r="K55" s="35">
        <v>1.26</v>
      </c>
      <c r="L55" s="35" t="s">
        <v>1189</v>
      </c>
      <c r="M55" s="35" t="s">
        <v>1190</v>
      </c>
      <c r="N55" s="67" t="s">
        <v>243</v>
      </c>
      <c r="O55" s="71"/>
      <c r="P55" s="71"/>
      <c r="Q55" s="71"/>
      <c r="T55" s="1" t="s">
        <v>562</v>
      </c>
      <c r="U55" s="29" t="str">
        <f t="shared" si="0"/>
        <v>1,65 (1.29; 2.21)</v>
      </c>
      <c r="V55" s="29" t="str">
        <f t="shared" si="1"/>
        <v>1,38 (1.02; 1.74)</v>
      </c>
      <c r="W55" s="29" t="str">
        <f t="shared" si="2"/>
        <v>1,26 (0.974; 1.52)</v>
      </c>
    </row>
    <row r="56" ht="13" spans="1:23">
      <c r="A56" s="38" t="s">
        <v>569</v>
      </c>
      <c r="B56" s="47">
        <v>104</v>
      </c>
      <c r="C56" s="35">
        <v>382.01</v>
      </c>
      <c r="D56" s="35" t="s">
        <v>1191</v>
      </c>
      <c r="E56" s="35" t="s">
        <v>1192</v>
      </c>
      <c r="F56" s="35">
        <v>103</v>
      </c>
      <c r="G56" s="35">
        <v>350.11</v>
      </c>
      <c r="H56" s="35" t="s">
        <v>1193</v>
      </c>
      <c r="I56" s="35" t="s">
        <v>1194</v>
      </c>
      <c r="J56" s="35">
        <v>104</v>
      </c>
      <c r="K56" s="35">
        <v>312.18</v>
      </c>
      <c r="L56" s="35" t="s">
        <v>1195</v>
      </c>
      <c r="M56" s="35" t="s">
        <v>1196</v>
      </c>
      <c r="N56" s="67" t="s">
        <v>243</v>
      </c>
      <c r="O56" s="71"/>
      <c r="P56" s="71"/>
      <c r="Q56" s="71"/>
      <c r="T56" s="1" t="s">
        <v>569</v>
      </c>
      <c r="U56" s="29" t="str">
        <f t="shared" si="0"/>
        <v>382,01 (346.92; 426.36)</v>
      </c>
      <c r="V56" s="29" t="str">
        <f t="shared" si="1"/>
        <v>350,11 (311.73; 393.8)</v>
      </c>
      <c r="W56" s="29" t="str">
        <f t="shared" si="2"/>
        <v>312,18 (288.69; 344.18)</v>
      </c>
    </row>
    <row r="57" spans="1:23">
      <c r="A57" s="38" t="s">
        <v>576</v>
      </c>
      <c r="B57" s="47">
        <v>104</v>
      </c>
      <c r="C57" s="35">
        <v>0.081</v>
      </c>
      <c r="D57" s="35" t="s">
        <v>1197</v>
      </c>
      <c r="E57" s="35" t="s">
        <v>1198</v>
      </c>
      <c r="F57" s="35">
        <v>102</v>
      </c>
      <c r="G57" s="35">
        <v>0.11</v>
      </c>
      <c r="H57" s="35" t="s">
        <v>1199</v>
      </c>
      <c r="I57" s="35" t="s">
        <v>1200</v>
      </c>
      <c r="J57" s="35">
        <v>99</v>
      </c>
      <c r="K57" s="35">
        <v>0.069</v>
      </c>
      <c r="L57" s="35" t="s">
        <v>1201</v>
      </c>
      <c r="M57" s="35"/>
      <c r="N57" s="72">
        <v>0.4317</v>
      </c>
      <c r="O57" s="70"/>
      <c r="P57" s="70"/>
      <c r="Q57" s="70"/>
      <c r="T57" s="1" t="s">
        <v>576</v>
      </c>
      <c r="U57" s="29" t="str">
        <f t="shared" si="0"/>
        <v>0,081 (0.033; 0.18)</v>
      </c>
      <c r="V57" s="29" t="str">
        <f t="shared" si="1"/>
        <v>0,11 (0.034; 0.18)</v>
      </c>
      <c r="W57" s="29" t="str">
        <f t="shared" si="2"/>
        <v>0,069 (0.02; 0.16)</v>
      </c>
    </row>
    <row r="58" ht="13" spans="1:23">
      <c r="A58" s="38" t="s">
        <v>583</v>
      </c>
      <c r="B58" s="47">
        <v>104</v>
      </c>
      <c r="C58" s="35">
        <v>216</v>
      </c>
      <c r="D58" s="35" t="s">
        <v>1202</v>
      </c>
      <c r="E58" s="35" t="s">
        <v>1203</v>
      </c>
      <c r="F58" s="35">
        <v>103</v>
      </c>
      <c r="G58" s="35">
        <v>160</v>
      </c>
      <c r="H58" s="35" t="s">
        <v>1204</v>
      </c>
      <c r="I58" s="35" t="s">
        <v>1205</v>
      </c>
      <c r="J58" s="35">
        <v>104</v>
      </c>
      <c r="K58" s="35">
        <v>119</v>
      </c>
      <c r="L58" s="35" t="s">
        <v>1206</v>
      </c>
      <c r="M58" s="35" t="s">
        <v>1207</v>
      </c>
      <c r="N58" s="67" t="s">
        <v>243</v>
      </c>
      <c r="O58" s="71"/>
      <c r="P58" s="71"/>
      <c r="Q58" s="71"/>
      <c r="T58" s="1" t="s">
        <v>583</v>
      </c>
      <c r="U58" s="29" t="str">
        <f t="shared" si="0"/>
        <v>216 (171; 241)</v>
      </c>
      <c r="V58" s="29" t="str">
        <f t="shared" si="1"/>
        <v>160 (125; 189)</v>
      </c>
      <c r="W58" s="29" t="str">
        <f t="shared" si="2"/>
        <v>119 (94.4; 146)</v>
      </c>
    </row>
    <row r="59" ht="13" spans="1:20">
      <c r="A59" s="51" t="s">
        <v>592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73" t="s">
        <v>1208</v>
      </c>
      <c r="T59" s="1" t="s">
        <v>592</v>
      </c>
    </row>
    <row r="60" spans="1:25">
      <c r="A60" s="38" t="s">
        <v>593</v>
      </c>
      <c r="B60" s="47">
        <v>101</v>
      </c>
      <c r="C60" s="35">
        <v>0.093</v>
      </c>
      <c r="D60" s="35" t="s">
        <v>623</v>
      </c>
      <c r="E60" s="35" t="s">
        <v>1209</v>
      </c>
      <c r="F60" s="35">
        <v>102</v>
      </c>
      <c r="G60" s="35">
        <v>0.092</v>
      </c>
      <c r="H60" s="35" t="s">
        <v>1210</v>
      </c>
      <c r="I60" s="35" t="s">
        <v>1211</v>
      </c>
      <c r="J60" s="35">
        <v>99</v>
      </c>
      <c r="K60" s="35">
        <v>0.082</v>
      </c>
      <c r="L60" s="35" t="s">
        <v>1212</v>
      </c>
      <c r="M60" s="35" t="s">
        <v>1213</v>
      </c>
      <c r="N60" s="72">
        <v>0.7921</v>
      </c>
      <c r="O60" s="70">
        <v>0.719021395882507</v>
      </c>
      <c r="P60" s="70">
        <v>0.763314576434607</v>
      </c>
      <c r="Q60" s="70">
        <v>0.748092504433776</v>
      </c>
      <c r="T60" s="1" t="s">
        <v>593</v>
      </c>
      <c r="U60" s="29" t="str">
        <f t="shared" si="0"/>
        <v>0,093 (0.023; 0.15)</v>
      </c>
      <c r="V60" s="29" t="str">
        <f t="shared" si="1"/>
        <v>0,092 (0.028; 0.16)</v>
      </c>
      <c r="W60" s="29" t="str">
        <f t="shared" si="2"/>
        <v>0,082 (0.026; 0.17)</v>
      </c>
      <c r="X60" s="1">
        <v>0.719021395882507</v>
      </c>
      <c r="Y60" s="1">
        <v>0.748092504433776</v>
      </c>
    </row>
    <row r="61" spans="1:25">
      <c r="A61" s="38" t="s">
        <v>600</v>
      </c>
      <c r="B61" s="47">
        <v>101</v>
      </c>
      <c r="C61" s="35">
        <v>0.21</v>
      </c>
      <c r="D61" s="35" t="s">
        <v>1214</v>
      </c>
      <c r="E61" s="35" t="s">
        <v>1215</v>
      </c>
      <c r="F61" s="35">
        <v>102</v>
      </c>
      <c r="G61" s="35">
        <v>0.23</v>
      </c>
      <c r="H61" s="35" t="s">
        <v>605</v>
      </c>
      <c r="I61" s="35" t="s">
        <v>1216</v>
      </c>
      <c r="J61" s="35">
        <v>99</v>
      </c>
      <c r="K61" s="35">
        <v>0.21</v>
      </c>
      <c r="L61" s="35" t="s">
        <v>1217</v>
      </c>
      <c r="M61" s="35" t="s">
        <v>1218</v>
      </c>
      <c r="N61" s="72">
        <v>0.7568</v>
      </c>
      <c r="O61" s="70">
        <v>0.852945725732808</v>
      </c>
      <c r="P61" s="70">
        <v>0.546849544009325</v>
      </c>
      <c r="Q61" s="70">
        <v>0.715298452219708</v>
      </c>
      <c r="T61" s="1" t="s">
        <v>600</v>
      </c>
      <c r="U61" s="29" t="str">
        <f t="shared" si="0"/>
        <v>0,21 (0.12; 0.37)</v>
      </c>
      <c r="V61" s="29" t="str">
        <f t="shared" si="1"/>
        <v>0,23 (0.13; 0.37)</v>
      </c>
      <c r="W61" s="29" t="str">
        <f t="shared" si="2"/>
        <v>0,21 (0.13; 0.38)</v>
      </c>
      <c r="X61" s="1">
        <v>0.852945725732808</v>
      </c>
      <c r="Y61" s="1">
        <v>0.715298452219708</v>
      </c>
    </row>
    <row r="62" spans="1:25">
      <c r="A62" s="38" t="s">
        <v>607</v>
      </c>
      <c r="B62" s="47">
        <v>101</v>
      </c>
      <c r="C62" s="35">
        <v>0.054</v>
      </c>
      <c r="D62" s="35" t="s">
        <v>1219</v>
      </c>
      <c r="E62" s="35" t="s">
        <v>1220</v>
      </c>
      <c r="F62" s="35">
        <v>102</v>
      </c>
      <c r="G62" s="35">
        <v>0.058</v>
      </c>
      <c r="H62" s="35" t="s">
        <v>1221</v>
      </c>
      <c r="I62" s="35" t="s">
        <v>1222</v>
      </c>
      <c r="J62" s="35">
        <v>99</v>
      </c>
      <c r="K62" s="35">
        <v>0.071</v>
      </c>
      <c r="L62" s="35" t="s">
        <v>1223</v>
      </c>
      <c r="M62" s="35" t="s">
        <v>1224</v>
      </c>
      <c r="N62" s="72">
        <v>0.6127</v>
      </c>
      <c r="O62" s="70">
        <v>0.796163452157037</v>
      </c>
      <c r="P62" s="70">
        <v>0.763314576434607</v>
      </c>
      <c r="Q62" s="70">
        <v>0.744071732240414</v>
      </c>
      <c r="T62" s="1" t="s">
        <v>607</v>
      </c>
      <c r="U62" s="29" t="str">
        <f t="shared" si="0"/>
        <v>0,054 (0.021; 0.18)</v>
      </c>
      <c r="V62" s="29" t="str">
        <f t="shared" si="1"/>
        <v>0,058 (0.019; 0.16)</v>
      </c>
      <c r="W62" s="29" t="str">
        <f t="shared" si="2"/>
        <v>0,071 (0.023; 0.24)</v>
      </c>
      <c r="X62" s="1">
        <v>0.796163452157037</v>
      </c>
      <c r="Y62" s="1">
        <v>0.744071732240414</v>
      </c>
    </row>
    <row r="63" spans="1:25">
      <c r="A63" s="38" t="s">
        <v>615</v>
      </c>
      <c r="B63" s="47">
        <v>101</v>
      </c>
      <c r="C63" s="35">
        <v>0.096</v>
      </c>
      <c r="D63" s="35" t="s">
        <v>1225</v>
      </c>
      <c r="E63" s="35" t="s">
        <v>1226</v>
      </c>
      <c r="F63" s="35">
        <v>102</v>
      </c>
      <c r="G63" s="35">
        <v>0.1</v>
      </c>
      <c r="H63" s="35" t="s">
        <v>1227</v>
      </c>
      <c r="I63" s="35" t="s">
        <v>1228</v>
      </c>
      <c r="J63" s="35">
        <v>99</v>
      </c>
      <c r="K63" s="35">
        <v>0.085</v>
      </c>
      <c r="L63" s="35" t="s">
        <v>1229</v>
      </c>
      <c r="M63" s="35" t="s">
        <v>1211</v>
      </c>
      <c r="N63" s="72">
        <v>0.8049</v>
      </c>
      <c r="O63" s="70">
        <v>0.796354373590979</v>
      </c>
      <c r="P63" s="70">
        <v>0.795194912519699</v>
      </c>
      <c r="Q63" s="70">
        <v>0.748092504433776</v>
      </c>
      <c r="T63" s="1" t="s">
        <v>615</v>
      </c>
      <c r="U63" s="29" t="str">
        <f t="shared" si="0"/>
        <v>0,096 (0.041; 0.23)</v>
      </c>
      <c r="V63" s="29" t="str">
        <f t="shared" si="1"/>
        <v>0,1 (0.033; 0.21)</v>
      </c>
      <c r="W63" s="29" t="str">
        <f t="shared" si="2"/>
        <v>0,085 (0.034; 0.22)</v>
      </c>
      <c r="X63" s="1">
        <v>0.796354373590979</v>
      </c>
      <c r="Y63" s="1">
        <v>0.748092504433776</v>
      </c>
    </row>
    <row r="64" ht="13.25" spans="1:25">
      <c r="A64" s="52" t="s">
        <v>622</v>
      </c>
      <c r="B64" s="53">
        <v>101</v>
      </c>
      <c r="C64" s="45">
        <v>0.081</v>
      </c>
      <c r="D64" s="45" t="s">
        <v>1197</v>
      </c>
      <c r="E64" s="45" t="s">
        <v>1198</v>
      </c>
      <c r="F64" s="45">
        <v>102</v>
      </c>
      <c r="G64" s="45">
        <v>0.11</v>
      </c>
      <c r="H64" s="45" t="s">
        <v>1199</v>
      </c>
      <c r="I64" s="45" t="s">
        <v>1200</v>
      </c>
      <c r="J64" s="45">
        <v>99</v>
      </c>
      <c r="K64" s="45">
        <v>0.069</v>
      </c>
      <c r="L64" s="45" t="s">
        <v>1201</v>
      </c>
      <c r="M64" s="45" t="s">
        <v>1230</v>
      </c>
      <c r="N64" s="54">
        <v>0.226</v>
      </c>
      <c r="O64" s="74">
        <v>0.259539581942529</v>
      </c>
      <c r="P64" s="74">
        <v>0.262002289164495</v>
      </c>
      <c r="Q64" s="74">
        <v>0.335183708951758</v>
      </c>
      <c r="T64" s="1" t="s">
        <v>622</v>
      </c>
      <c r="U64" s="29" t="str">
        <f t="shared" si="0"/>
        <v>0,081 (0.033; 0.18)</v>
      </c>
      <c r="V64" s="29" t="str">
        <f t="shared" si="1"/>
        <v>0,11 (0.034; 0.18)</v>
      </c>
      <c r="W64" s="29" t="str">
        <f t="shared" si="2"/>
        <v>0,069 (0.02; 0.16)</v>
      </c>
      <c r="X64" s="1">
        <v>0.259539581942529</v>
      </c>
      <c r="Y64" s="1">
        <v>0.335183708951758</v>
      </c>
    </row>
    <row r="66" ht="14" spans="1:21">
      <c r="A66" s="76" t="s">
        <v>633</v>
      </c>
      <c r="B66" s="76" t="s">
        <v>630</v>
      </c>
      <c r="C66" s="77" t="s">
        <v>630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T66" s="1" t="s">
        <v>633</v>
      </c>
      <c r="U66" s="29" t="s">
        <v>630</v>
      </c>
    </row>
    <row r="67" ht="14" spans="1:21">
      <c r="A67" s="76" t="s">
        <v>1231</v>
      </c>
      <c r="B67" s="76" t="s">
        <v>632</v>
      </c>
      <c r="C67" s="78" t="s">
        <v>632</v>
      </c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T67" s="1" t="s">
        <v>1231</v>
      </c>
      <c r="U67" s="29" t="s">
        <v>632</v>
      </c>
    </row>
    <row r="68" ht="14" spans="1:21">
      <c r="A68" s="76" t="s">
        <v>1232</v>
      </c>
      <c r="B68" s="76" t="s">
        <v>634</v>
      </c>
      <c r="C68" s="78" t="s">
        <v>634</v>
      </c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T68" s="1" t="s">
        <v>1232</v>
      </c>
      <c r="U68" s="29" t="s">
        <v>634</v>
      </c>
    </row>
  </sheetData>
  <mergeCells count="7">
    <mergeCell ref="B1:E1"/>
    <mergeCell ref="G1:I1"/>
    <mergeCell ref="J1:L1"/>
    <mergeCell ref="C66:Q66"/>
    <mergeCell ref="C67:Q67"/>
    <mergeCell ref="C68:Q68"/>
    <mergeCell ref="A1:A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3"/>
  <sheetViews>
    <sheetView zoomScale="95" zoomScaleNormal="95" topLeftCell="A142" workbookViewId="0">
      <selection activeCell="A110" sqref="$A1:$XFD110"/>
    </sheetView>
  </sheetViews>
  <sheetFormatPr defaultColWidth="11" defaultRowHeight="12.5"/>
  <cols>
    <col min="1" max="1" width="29.6363636363636" style="1" customWidth="1"/>
    <col min="2" max="2" width="7.45454545454545" style="1" hidden="1" customWidth="1"/>
    <col min="3" max="3" width="19.8181818181818" style="1" hidden="1" customWidth="1"/>
    <col min="4" max="4" width="17.1818181818182" style="1" hidden="1" customWidth="1"/>
    <col min="5" max="5" width="22.8181818181818" style="1" customWidth="1"/>
    <col min="6" max="6" width="22.9090909090909" style="1" customWidth="1"/>
    <col min="7" max="7" width="21.4545454545455" style="1" hidden="1" customWidth="1"/>
    <col min="8" max="9" width="26.3636363636364" style="1" hidden="1" customWidth="1"/>
    <col min="10" max="10" width="30.2727272727273" style="1" hidden="1" customWidth="1"/>
    <col min="11" max="11" width="13.7272727272727" style="1" customWidth="1"/>
    <col min="12" max="12" width="14.8181818181818" style="1" customWidth="1"/>
    <col min="13" max="13" width="15.7272727272727" style="1" hidden="1" customWidth="1"/>
    <col min="14" max="14" width="14.1818181818182" style="1" hidden="1" customWidth="1"/>
    <col min="15" max="15" width="10.2727272727273" style="1" customWidth="1"/>
    <col min="16" max="16" width="12.0909090909091" style="1" hidden="1" customWidth="1"/>
    <col min="17" max="17" width="10.4545454545455" style="1" hidden="1" customWidth="1"/>
    <col min="18" max="18" width="10.5454545454545" style="1" customWidth="1"/>
    <col min="19" max="19" width="25.3636363636364" style="1" customWidth="1"/>
    <col min="20" max="21" width="29" style="1" customWidth="1"/>
    <col min="22" max="22" width="7.36363636363636" style="1" customWidth="1"/>
    <col min="23" max="32" width="10.9090909090909" style="1"/>
    <col min="33" max="33" width="29" style="1" customWidth="1"/>
    <col min="34" max="16384" width="10.9090909090909" style="1"/>
  </cols>
  <sheetData>
    <row r="1" hidden="1" spans="1:2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</row>
    <row r="2" ht="14.5" hidden="1" spans="1:22">
      <c r="A2" t="s">
        <v>1233</v>
      </c>
      <c r="B2" t="s">
        <v>1234</v>
      </c>
      <c r="C2" t="s">
        <v>1235</v>
      </c>
      <c r="D2" t="s">
        <v>1236</v>
      </c>
      <c r="E2" t="s">
        <v>1237</v>
      </c>
      <c r="F2" t="s">
        <v>1238</v>
      </c>
      <c r="G2" t="s">
        <v>1239</v>
      </c>
      <c r="H2" t="s">
        <v>1240</v>
      </c>
      <c r="I2" t="s">
        <v>1241</v>
      </c>
      <c r="J2" t="s">
        <v>1242</v>
      </c>
      <c r="K2" t="s">
        <v>1243</v>
      </c>
      <c r="L2" s="1" t="s">
        <v>1244</v>
      </c>
      <c r="M2" s="1" t="s">
        <v>1245</v>
      </c>
      <c r="N2" s="1" t="s">
        <v>1246</v>
      </c>
      <c r="O2" s="1" t="s">
        <v>1247</v>
      </c>
      <c r="P2" s="1" t="s">
        <v>1248</v>
      </c>
      <c r="Q2" s="1" t="s">
        <v>1249</v>
      </c>
      <c r="R2" s="1" t="s">
        <v>1250</v>
      </c>
      <c r="S2" s="1" t="s">
        <v>1251</v>
      </c>
      <c r="T2" s="1" t="s">
        <v>1252</v>
      </c>
      <c r="U2" s="1" t="s">
        <v>1253</v>
      </c>
      <c r="V2" t="s">
        <v>1254</v>
      </c>
    </row>
    <row r="3" ht="14.5" hidden="1" spans="1:22">
      <c r="A3" s="2" t="s">
        <v>648</v>
      </c>
      <c r="B3">
        <v>156</v>
      </c>
      <c r="C3" s="3">
        <v>39.4166666666667</v>
      </c>
      <c r="D3" s="3">
        <v>10.7373080865847</v>
      </c>
      <c r="E3" s="3">
        <v>37.7317082523403</v>
      </c>
      <c r="F3" s="3">
        <v>41.1016250809931</v>
      </c>
      <c r="G3" s="3">
        <v>39.5</v>
      </c>
      <c r="H3" s="3">
        <v>29</v>
      </c>
      <c r="I3" s="3">
        <v>48</v>
      </c>
      <c r="J3" s="3">
        <v>22</v>
      </c>
      <c r="K3" s="3">
        <v>59</v>
      </c>
      <c r="L3" s="5">
        <v>155</v>
      </c>
      <c r="M3" s="5">
        <v>41.4258064516129</v>
      </c>
      <c r="N3" s="5">
        <v>11.1197428186045</v>
      </c>
      <c r="O3" s="5">
        <v>39.6752143482046</v>
      </c>
      <c r="P3" s="5">
        <v>43.1763985550212</v>
      </c>
      <c r="Q3" s="5">
        <v>43</v>
      </c>
      <c r="R3" s="5">
        <v>32</v>
      </c>
      <c r="S3" s="5">
        <v>51</v>
      </c>
      <c r="T3" s="5">
        <v>21</v>
      </c>
      <c r="U3" s="5">
        <v>60</v>
      </c>
      <c r="V3" s="6">
        <v>0.0876869083406212</v>
      </c>
    </row>
    <row r="4" ht="14.5" hidden="1" spans="1:22">
      <c r="A4" s="2" t="s">
        <v>686</v>
      </c>
      <c r="B4">
        <v>156</v>
      </c>
      <c r="C4" s="3">
        <v>101.542307692308</v>
      </c>
      <c r="D4" s="3">
        <v>55.5414777161921</v>
      </c>
      <c r="E4" s="3">
        <v>92.8264284917335</v>
      </c>
      <c r="F4" s="3">
        <v>110.258186892882</v>
      </c>
      <c r="G4" s="3">
        <v>94.8</v>
      </c>
      <c r="H4" s="3">
        <v>79.525</v>
      </c>
      <c r="I4" s="3">
        <v>114.25</v>
      </c>
      <c r="J4" s="3">
        <v>52.4375</v>
      </c>
      <c r="K4" s="3">
        <v>163.75</v>
      </c>
      <c r="L4" s="5">
        <v>155</v>
      </c>
      <c r="M4" s="5">
        <v>91.341935483871</v>
      </c>
      <c r="N4" s="5">
        <v>27.1224588754478</v>
      </c>
      <c r="O4" s="5">
        <v>87.0720199735109</v>
      </c>
      <c r="P4" s="5">
        <v>95.611850994231</v>
      </c>
      <c r="Q4" s="5">
        <v>90.3</v>
      </c>
      <c r="R4" s="5">
        <v>75.85</v>
      </c>
      <c r="S4" s="5">
        <v>103</v>
      </c>
      <c r="T4" s="5">
        <v>46.94</v>
      </c>
      <c r="U4" s="5">
        <v>152.95</v>
      </c>
      <c r="V4" s="6">
        <v>0.0405976596167595</v>
      </c>
    </row>
    <row r="5" ht="14.5" hidden="1" spans="1:22">
      <c r="A5" s="2" t="s">
        <v>691</v>
      </c>
      <c r="B5">
        <v>156</v>
      </c>
      <c r="C5" s="3">
        <v>44.8141025641026</v>
      </c>
      <c r="D5" s="3">
        <v>12.910013361568</v>
      </c>
      <c r="E5" s="3">
        <v>42.7881910910194</v>
      </c>
      <c r="F5" s="3">
        <v>46.8400140371857</v>
      </c>
      <c r="G5" s="3">
        <v>43</v>
      </c>
      <c r="H5" s="3">
        <v>36</v>
      </c>
      <c r="I5" s="3">
        <v>52</v>
      </c>
      <c r="J5" s="3">
        <v>25.875</v>
      </c>
      <c r="K5" s="3">
        <v>73</v>
      </c>
      <c r="L5" s="5">
        <v>155</v>
      </c>
      <c r="M5" s="5">
        <v>47.1935483870968</v>
      </c>
      <c r="N5" s="5">
        <v>15.6367435968683</v>
      </c>
      <c r="O5" s="5">
        <v>44.7318403862698</v>
      </c>
      <c r="P5" s="5">
        <v>49.6552563879238</v>
      </c>
      <c r="Q5" s="5">
        <v>45</v>
      </c>
      <c r="R5" s="5">
        <v>37.5</v>
      </c>
      <c r="S5" s="5">
        <v>54</v>
      </c>
      <c r="T5" s="5">
        <v>26.7</v>
      </c>
      <c r="U5" s="5">
        <v>87.45</v>
      </c>
      <c r="V5" s="6">
        <v>0.169631571119271</v>
      </c>
    </row>
    <row r="6" ht="14.5" hidden="1" spans="1:22">
      <c r="A6" s="2" t="s">
        <v>696</v>
      </c>
      <c r="B6">
        <v>156</v>
      </c>
      <c r="C6" s="3">
        <v>29.474358974359</v>
      </c>
      <c r="D6" s="3">
        <v>19.8599609257806</v>
      </c>
      <c r="E6" s="3">
        <v>26.3578228742263</v>
      </c>
      <c r="F6" s="3">
        <v>32.5908950744917</v>
      </c>
      <c r="G6" s="3">
        <v>25</v>
      </c>
      <c r="H6" s="3">
        <v>18</v>
      </c>
      <c r="I6" s="3">
        <v>36.05</v>
      </c>
      <c r="J6" s="3">
        <v>10</v>
      </c>
      <c r="K6" s="3">
        <v>88.075</v>
      </c>
      <c r="L6" s="5">
        <v>155</v>
      </c>
      <c r="M6" s="5">
        <v>29.7509677419355</v>
      </c>
      <c r="N6" s="5">
        <v>22.7498033893087</v>
      </c>
      <c r="O6" s="5">
        <v>26.1694437069747</v>
      </c>
      <c r="P6" s="5">
        <v>33.3324917768962</v>
      </c>
      <c r="Q6" s="5">
        <v>24.6</v>
      </c>
      <c r="R6" s="5">
        <v>16.4</v>
      </c>
      <c r="S6" s="5">
        <v>34.5</v>
      </c>
      <c r="T6" s="5">
        <v>8</v>
      </c>
      <c r="U6" s="5">
        <v>78.34</v>
      </c>
      <c r="V6" s="6">
        <v>0.753925616610203</v>
      </c>
    </row>
    <row r="7" ht="14.5" hidden="1" spans="1:22">
      <c r="A7" s="2" t="s">
        <v>701</v>
      </c>
      <c r="B7">
        <v>154</v>
      </c>
      <c r="C7" s="3">
        <v>115.5</v>
      </c>
      <c r="D7" s="3">
        <v>28.9746903303307</v>
      </c>
      <c r="E7" s="3">
        <v>110.923699714634</v>
      </c>
      <c r="F7" s="3">
        <v>120.076300285366</v>
      </c>
      <c r="G7" s="3">
        <v>113</v>
      </c>
      <c r="H7" s="3">
        <v>96</v>
      </c>
      <c r="I7" s="3">
        <v>134.75</v>
      </c>
      <c r="J7" s="3">
        <v>64.475</v>
      </c>
      <c r="K7" s="3">
        <v>171</v>
      </c>
      <c r="L7" s="5">
        <v>155</v>
      </c>
      <c r="M7" s="5">
        <v>114.705806451613</v>
      </c>
      <c r="N7" s="5">
        <v>31.2768476645653</v>
      </c>
      <c r="O7" s="5">
        <v>109.781861407715</v>
      </c>
      <c r="P7" s="5">
        <v>119.629751495511</v>
      </c>
      <c r="Q7" s="5">
        <v>112</v>
      </c>
      <c r="R7" s="5">
        <v>93</v>
      </c>
      <c r="S7" s="5">
        <v>134.5</v>
      </c>
      <c r="T7" s="5">
        <v>62.55</v>
      </c>
      <c r="U7" s="5">
        <v>176.35</v>
      </c>
      <c r="V7" s="6">
        <v>0.741028648090311</v>
      </c>
    </row>
    <row r="8" ht="14.5" hidden="1" spans="1:22">
      <c r="A8" s="2" t="s">
        <v>706</v>
      </c>
      <c r="B8">
        <v>156</v>
      </c>
      <c r="C8" s="3">
        <v>187.012820512821</v>
      </c>
      <c r="D8" s="3">
        <v>33.2519196010497</v>
      </c>
      <c r="E8" s="3">
        <v>181.794743386553</v>
      </c>
      <c r="F8" s="3">
        <v>192.230897639088</v>
      </c>
      <c r="G8" s="3">
        <v>184</v>
      </c>
      <c r="H8" s="3">
        <v>165</v>
      </c>
      <c r="I8" s="3">
        <v>208.25</v>
      </c>
      <c r="J8" s="3">
        <v>128.875</v>
      </c>
      <c r="K8" s="3">
        <v>253.25</v>
      </c>
      <c r="L8" s="5">
        <v>155</v>
      </c>
      <c r="M8" s="5">
        <v>186.858064516129</v>
      </c>
      <c r="N8" s="5">
        <v>35.7837006190781</v>
      </c>
      <c r="O8" s="5">
        <v>181.224601156736</v>
      </c>
      <c r="P8" s="5">
        <v>192.491527875522</v>
      </c>
      <c r="Q8" s="5">
        <v>187</v>
      </c>
      <c r="R8" s="5">
        <v>163</v>
      </c>
      <c r="S8" s="5">
        <v>209.5</v>
      </c>
      <c r="T8" s="5">
        <v>121.25</v>
      </c>
      <c r="U8" s="5">
        <v>260</v>
      </c>
      <c r="V8" s="6">
        <v>0.963782775221787</v>
      </c>
    </row>
    <row r="9" ht="14.5" hidden="1" spans="1:22">
      <c r="A9" s="2" t="s">
        <v>711</v>
      </c>
      <c r="B9">
        <v>156</v>
      </c>
      <c r="C9" s="3">
        <v>148.378205128205</v>
      </c>
      <c r="D9" s="3">
        <v>99.0455967299726</v>
      </c>
      <c r="E9" s="3">
        <v>132.835416352249</v>
      </c>
      <c r="F9" s="3">
        <v>163.920993904161</v>
      </c>
      <c r="G9" s="3">
        <v>125</v>
      </c>
      <c r="H9" s="3">
        <v>90.5</v>
      </c>
      <c r="I9" s="3">
        <v>180.25</v>
      </c>
      <c r="J9" s="3">
        <v>51</v>
      </c>
      <c r="K9" s="3">
        <v>440.375</v>
      </c>
      <c r="L9" s="5">
        <v>155</v>
      </c>
      <c r="M9" s="5">
        <v>146.935483870968</v>
      </c>
      <c r="N9" s="5">
        <v>113.3291767558</v>
      </c>
      <c r="O9" s="5">
        <v>129.09395955239</v>
      </c>
      <c r="P9" s="5">
        <v>164.777008189546</v>
      </c>
      <c r="Q9" s="5">
        <v>122</v>
      </c>
      <c r="R9" s="5">
        <v>81.5</v>
      </c>
      <c r="S9" s="5">
        <v>168</v>
      </c>
      <c r="T9" s="5">
        <v>39.85</v>
      </c>
      <c r="U9" s="5">
        <v>391.7</v>
      </c>
      <c r="V9" s="6">
        <v>0.51843769249375</v>
      </c>
    </row>
    <row r="10" ht="14.5" hidden="1" spans="1:22">
      <c r="A10" s="2" t="s">
        <v>49</v>
      </c>
      <c r="B10">
        <v>156</v>
      </c>
      <c r="C10" s="3">
        <v>4.50897435897436</v>
      </c>
      <c r="D10" s="3">
        <v>1.62926311445159</v>
      </c>
      <c r="E10" s="3">
        <v>4.2533012822861</v>
      </c>
      <c r="F10" s="3">
        <v>4.76464743566262</v>
      </c>
      <c r="G10" s="3">
        <v>4.305</v>
      </c>
      <c r="H10" s="3">
        <v>3.4475</v>
      </c>
      <c r="I10" s="3">
        <v>5.2475</v>
      </c>
      <c r="J10" s="3">
        <v>2.37875</v>
      </c>
      <c r="K10" s="3">
        <v>7.74625</v>
      </c>
      <c r="L10" s="5">
        <v>155</v>
      </c>
      <c r="M10" s="5">
        <v>4.31161290322581</v>
      </c>
      <c r="N10" s="5">
        <v>1.51498166971508</v>
      </c>
      <c r="O10" s="5">
        <v>4.07310784145637</v>
      </c>
      <c r="P10" s="5">
        <v>4.55011796499524</v>
      </c>
      <c r="Q10" s="5">
        <v>3.98</v>
      </c>
      <c r="R10" s="5">
        <v>3.29</v>
      </c>
      <c r="S10" s="5">
        <v>5.005</v>
      </c>
      <c r="T10" s="5">
        <v>2.17</v>
      </c>
      <c r="U10" s="5">
        <v>7.7125</v>
      </c>
      <c r="V10" s="6">
        <v>0.189417627257282</v>
      </c>
    </row>
    <row r="11" ht="14.5" hidden="1" spans="1:22">
      <c r="A11" s="2" t="s">
        <v>365</v>
      </c>
      <c r="B11">
        <v>156</v>
      </c>
      <c r="C11" s="3">
        <v>0.473653846153846</v>
      </c>
      <c r="D11" s="3">
        <v>0.313552149366271</v>
      </c>
      <c r="E11" s="3">
        <v>0.424449489890201</v>
      </c>
      <c r="F11" s="3">
        <v>0.522858202417491</v>
      </c>
      <c r="G11" s="3">
        <v>0.47</v>
      </c>
      <c r="H11" s="3">
        <v>0.2475</v>
      </c>
      <c r="I11" s="3">
        <v>0.68</v>
      </c>
      <c r="J11" s="3">
        <v>-0.0925</v>
      </c>
      <c r="K11" s="3">
        <v>1.12</v>
      </c>
      <c r="L11" s="5">
        <v>155</v>
      </c>
      <c r="M11" s="5">
        <v>0.434258064516129</v>
      </c>
      <c r="N11" s="5">
        <v>0.336801125154475</v>
      </c>
      <c r="O11" s="5">
        <v>0.381235130466973</v>
      </c>
      <c r="P11" s="5">
        <v>0.487280998565285</v>
      </c>
      <c r="Q11" s="5">
        <v>0.42</v>
      </c>
      <c r="R11" s="5">
        <v>0.22</v>
      </c>
      <c r="S11" s="5">
        <v>0.66</v>
      </c>
      <c r="T11" s="5">
        <v>-0.15</v>
      </c>
      <c r="U11" s="5">
        <v>1.0635</v>
      </c>
      <c r="V11" s="6">
        <v>0.323648116578059</v>
      </c>
    </row>
    <row r="12" ht="14.5" hidden="1" spans="1:22">
      <c r="A12" s="2" t="s">
        <v>749</v>
      </c>
      <c r="B12">
        <v>154</v>
      </c>
      <c r="C12" s="3">
        <v>158.882792207792</v>
      </c>
      <c r="D12" s="3">
        <v>77.6284714841345</v>
      </c>
      <c r="E12" s="3">
        <v>146.622050430908</v>
      </c>
      <c r="F12" s="3">
        <v>171.143533984677</v>
      </c>
      <c r="G12" s="3">
        <v>158.75</v>
      </c>
      <c r="H12" s="3">
        <v>101.0775</v>
      </c>
      <c r="I12" s="3">
        <v>211.55</v>
      </c>
      <c r="J12" s="3">
        <v>24.10175</v>
      </c>
      <c r="K12" s="3">
        <v>322.4525</v>
      </c>
      <c r="L12" s="5">
        <v>155</v>
      </c>
      <c r="M12" s="5">
        <v>139.270709677419</v>
      </c>
      <c r="N12" s="5">
        <v>73.5290442226627</v>
      </c>
      <c r="O12" s="5">
        <v>127.694959564567</v>
      </c>
      <c r="P12" s="5">
        <v>150.846459790272</v>
      </c>
      <c r="Q12" s="5">
        <v>128.7</v>
      </c>
      <c r="R12" s="5">
        <v>79.6</v>
      </c>
      <c r="S12" s="5">
        <v>186.45</v>
      </c>
      <c r="T12" s="5">
        <v>38.712</v>
      </c>
      <c r="U12" s="5">
        <v>286.277</v>
      </c>
      <c r="V12" s="6">
        <v>0.0127197598162799</v>
      </c>
    </row>
    <row r="13" ht="14.5" hidden="1" spans="1:22">
      <c r="A13" s="2" t="s">
        <v>754</v>
      </c>
      <c r="B13">
        <v>156</v>
      </c>
      <c r="C13" s="3">
        <v>3.55455128205128</v>
      </c>
      <c r="D13" s="3">
        <v>6.1060547785492</v>
      </c>
      <c r="E13" s="3">
        <v>2.59635502890391</v>
      </c>
      <c r="F13" s="3">
        <v>4.51274753519866</v>
      </c>
      <c r="G13" s="3">
        <v>2</v>
      </c>
      <c r="H13" s="3">
        <v>1.275</v>
      </c>
      <c r="I13" s="3">
        <v>3.425</v>
      </c>
      <c r="J13" s="3">
        <v>0.32875</v>
      </c>
      <c r="K13" s="3">
        <v>16.0375</v>
      </c>
      <c r="L13" s="5">
        <v>155</v>
      </c>
      <c r="M13" s="5">
        <v>2.63316129032258</v>
      </c>
      <c r="N13" s="5">
        <v>2.42508956986509</v>
      </c>
      <c r="O13" s="5">
        <v>2.25137704222282</v>
      </c>
      <c r="P13" s="5">
        <v>3.01494553842234</v>
      </c>
      <c r="Q13" s="5">
        <v>1.8</v>
      </c>
      <c r="R13" s="5">
        <v>0.9</v>
      </c>
      <c r="S13" s="5">
        <v>3.48</v>
      </c>
      <c r="T13" s="5">
        <v>0.4255</v>
      </c>
      <c r="U13" s="5">
        <v>9.414</v>
      </c>
      <c r="V13" s="6">
        <v>0.222530543284614</v>
      </c>
    </row>
    <row r="14" ht="14.5" hidden="1" spans="1:22">
      <c r="A14" s="2" t="s">
        <v>759</v>
      </c>
      <c r="B14">
        <v>156</v>
      </c>
      <c r="C14" s="3">
        <v>90.0833333333333</v>
      </c>
      <c r="D14" s="3">
        <v>24.70861370854</v>
      </c>
      <c r="E14" s="3">
        <v>86.2059195310264</v>
      </c>
      <c r="F14" s="3">
        <v>93.9607471356403</v>
      </c>
      <c r="G14" s="3">
        <v>86</v>
      </c>
      <c r="H14" s="3">
        <v>81</v>
      </c>
      <c r="I14" s="3">
        <v>92.25</v>
      </c>
      <c r="J14" s="3">
        <v>73.75</v>
      </c>
      <c r="K14" s="3">
        <v>133</v>
      </c>
      <c r="L14" s="5">
        <v>155</v>
      </c>
      <c r="M14" s="5">
        <v>88.4774193548387</v>
      </c>
      <c r="N14" s="5">
        <v>23.4770779293808</v>
      </c>
      <c r="O14" s="5">
        <v>84.7813997701491</v>
      </c>
      <c r="P14" s="5">
        <v>92.1734389395284</v>
      </c>
      <c r="Q14" s="5">
        <v>85</v>
      </c>
      <c r="R14" s="5">
        <v>80</v>
      </c>
      <c r="S14" s="5">
        <v>91</v>
      </c>
      <c r="T14" s="5">
        <v>73</v>
      </c>
      <c r="U14" s="5">
        <v>113.6</v>
      </c>
      <c r="V14" s="6">
        <v>0.173809448032495</v>
      </c>
    </row>
    <row r="15" ht="14.5" hidden="1" spans="1:22">
      <c r="A15" s="2" t="s">
        <v>769</v>
      </c>
      <c r="B15">
        <v>156</v>
      </c>
      <c r="C15" s="3">
        <v>5.54294871794872</v>
      </c>
      <c r="D15" s="3">
        <v>0.747403434650509</v>
      </c>
      <c r="E15" s="3">
        <v>5.42566199245331</v>
      </c>
      <c r="F15" s="3">
        <v>5.66023544344412</v>
      </c>
      <c r="G15" s="3">
        <v>5.47</v>
      </c>
      <c r="H15" s="3">
        <v>5.2225</v>
      </c>
      <c r="I15" s="3">
        <v>5.7</v>
      </c>
      <c r="J15" s="3">
        <v>4.8</v>
      </c>
      <c r="K15" s="3">
        <v>6.70875</v>
      </c>
      <c r="L15" s="5">
        <v>155</v>
      </c>
      <c r="M15" s="5">
        <v>5.57541935483871</v>
      </c>
      <c r="N15" s="5">
        <v>0.591587385504367</v>
      </c>
      <c r="O15" s="5">
        <v>5.4822851679754</v>
      </c>
      <c r="P15" s="5">
        <v>5.66855354170202</v>
      </c>
      <c r="Q15" s="5">
        <v>5.5</v>
      </c>
      <c r="R15" s="5">
        <v>5.2</v>
      </c>
      <c r="S15" s="5">
        <v>5.8</v>
      </c>
      <c r="T15" s="5">
        <v>4.9</v>
      </c>
      <c r="U15" s="5">
        <v>6.815</v>
      </c>
      <c r="V15" s="6">
        <v>0.22101356782231</v>
      </c>
    </row>
    <row r="16" ht="14.5" hidden="1" spans="1:22">
      <c r="A16" s="2" t="s">
        <v>672</v>
      </c>
      <c r="B16">
        <v>156</v>
      </c>
      <c r="C16" s="3">
        <v>7.32987179487179</v>
      </c>
      <c r="D16" s="3">
        <v>6.59460336425509</v>
      </c>
      <c r="E16" s="3">
        <v>6.29500976631271</v>
      </c>
      <c r="F16" s="3">
        <v>8.36473382343088</v>
      </c>
      <c r="G16" s="3">
        <v>5.825</v>
      </c>
      <c r="H16" s="3">
        <v>2.52</v>
      </c>
      <c r="I16" s="3">
        <v>10.1675</v>
      </c>
      <c r="J16" s="3">
        <v>0.43875</v>
      </c>
      <c r="K16" s="3">
        <v>22.485</v>
      </c>
      <c r="L16" s="5">
        <v>155</v>
      </c>
      <c r="M16" s="5">
        <v>6.22677419354839</v>
      </c>
      <c r="N16" s="5">
        <v>5.54125459743689</v>
      </c>
      <c r="O16" s="5">
        <v>5.35440900493828</v>
      </c>
      <c r="P16" s="5">
        <v>7.09913938215849</v>
      </c>
      <c r="Q16" s="5">
        <v>4.66</v>
      </c>
      <c r="R16" s="5">
        <v>1.93</v>
      </c>
      <c r="S16" s="5">
        <v>8.76</v>
      </c>
      <c r="T16" s="5">
        <v>0.47</v>
      </c>
      <c r="U16" s="5">
        <v>20.545</v>
      </c>
      <c r="V16" s="6">
        <v>0.131127813632237</v>
      </c>
    </row>
    <row r="17" ht="14.5" hidden="1" spans="1:22">
      <c r="A17" s="2" t="s">
        <v>677</v>
      </c>
      <c r="B17">
        <v>156</v>
      </c>
      <c r="C17" s="3">
        <v>6.29641025641026</v>
      </c>
      <c r="D17" s="3">
        <v>3.37268495486865</v>
      </c>
      <c r="E17" s="3">
        <v>5.76714967752473</v>
      </c>
      <c r="F17" s="3">
        <v>6.82567083529578</v>
      </c>
      <c r="G17" s="3">
        <v>5.69</v>
      </c>
      <c r="H17" s="3">
        <v>3.9925</v>
      </c>
      <c r="I17" s="3">
        <v>7.865</v>
      </c>
      <c r="J17" s="3">
        <v>1.73125</v>
      </c>
      <c r="K17" s="3">
        <v>14.3225</v>
      </c>
      <c r="L17" s="5">
        <v>155</v>
      </c>
      <c r="M17" s="5">
        <v>7.07845161290323</v>
      </c>
      <c r="N17" s="5">
        <v>4.42010447398647</v>
      </c>
      <c r="O17" s="5">
        <v>6.38259019644545</v>
      </c>
      <c r="P17" s="5">
        <v>7.774313029361</v>
      </c>
      <c r="Q17" s="5">
        <v>6.17</v>
      </c>
      <c r="R17" s="5">
        <v>3.985</v>
      </c>
      <c r="S17" s="5">
        <v>8.77</v>
      </c>
      <c r="T17" s="5">
        <v>1.704</v>
      </c>
      <c r="U17" s="5">
        <v>17.492</v>
      </c>
      <c r="V17" s="6">
        <v>0.236296946935412</v>
      </c>
    </row>
    <row r="18" ht="14.5" hidden="1" spans="1:22">
      <c r="A18" s="2" t="s">
        <v>303</v>
      </c>
      <c r="B18">
        <v>156</v>
      </c>
      <c r="C18" s="3">
        <v>1.55961538461538</v>
      </c>
      <c r="D18" s="3">
        <v>2.21128188909784</v>
      </c>
      <c r="E18" s="3">
        <v>1.2126086679004</v>
      </c>
      <c r="F18" s="3">
        <v>1.90662210133037</v>
      </c>
      <c r="G18" s="3">
        <v>0.895</v>
      </c>
      <c r="H18" s="3">
        <v>0.4475</v>
      </c>
      <c r="I18" s="3">
        <v>1.7375</v>
      </c>
      <c r="J18" s="3">
        <v>0.07</v>
      </c>
      <c r="K18" s="3">
        <v>6.6</v>
      </c>
      <c r="L18" s="5">
        <v>155</v>
      </c>
      <c r="M18" s="5">
        <v>1.27948387096774</v>
      </c>
      <c r="N18" s="5">
        <v>3.14623270775725</v>
      </c>
      <c r="O18" s="5">
        <v>0.784169345844951</v>
      </c>
      <c r="P18" s="5">
        <v>1.77479839609053</v>
      </c>
      <c r="Q18" s="5">
        <v>0.76</v>
      </c>
      <c r="R18" s="5">
        <v>0.335</v>
      </c>
      <c r="S18" s="5">
        <v>1.4</v>
      </c>
      <c r="T18" s="5">
        <v>0.077</v>
      </c>
      <c r="U18" s="5">
        <v>3.8215</v>
      </c>
      <c r="V18" s="6">
        <v>0.0453284057823927</v>
      </c>
    </row>
    <row r="19" ht="14.5" hidden="1" spans="1:22">
      <c r="A19" s="2" t="s">
        <v>764</v>
      </c>
      <c r="B19">
        <v>156</v>
      </c>
      <c r="C19" s="3">
        <v>13.4952564102564</v>
      </c>
      <c r="D19" s="3">
        <v>8.37565677337858</v>
      </c>
      <c r="E19" s="3">
        <v>12.1809015233507</v>
      </c>
      <c r="F19" s="3">
        <v>14.8096112971621</v>
      </c>
      <c r="G19" s="3">
        <v>11.515</v>
      </c>
      <c r="H19" s="3">
        <v>7.6425</v>
      </c>
      <c r="I19" s="3">
        <v>17.63</v>
      </c>
      <c r="J19" s="3">
        <v>3.86375</v>
      </c>
      <c r="K19" s="3">
        <v>33.57625</v>
      </c>
      <c r="L19" s="5">
        <v>155</v>
      </c>
      <c r="M19" s="5">
        <v>12.6267096774194</v>
      </c>
      <c r="N19" s="5">
        <v>8.27362364350629</v>
      </c>
      <c r="O19" s="5">
        <v>11.3241849290357</v>
      </c>
      <c r="P19" s="5">
        <v>13.929234425803</v>
      </c>
      <c r="Q19" s="5">
        <v>10.17</v>
      </c>
      <c r="R19" s="5">
        <v>7.455</v>
      </c>
      <c r="S19" s="5">
        <v>15.67</v>
      </c>
      <c r="T19" s="5">
        <v>3.2795</v>
      </c>
      <c r="U19" s="5">
        <v>33.9135</v>
      </c>
      <c r="V19" s="6">
        <v>0.174963228773402</v>
      </c>
    </row>
    <row r="20" ht="14.5" hidden="1" spans="1:22">
      <c r="A20" t="s">
        <v>1255</v>
      </c>
      <c r="B20">
        <v>156</v>
      </c>
      <c r="C20" s="3">
        <v>4.99961538461538</v>
      </c>
      <c r="D20" s="3">
        <v>1.37115486272275</v>
      </c>
      <c r="E20" s="3">
        <v>4.7844460978017</v>
      </c>
      <c r="F20" s="3">
        <v>5.21478467142907</v>
      </c>
      <c r="G20" s="3">
        <v>4.77</v>
      </c>
      <c r="H20" s="3">
        <v>4.5</v>
      </c>
      <c r="I20" s="3">
        <v>5.1225</v>
      </c>
      <c r="J20" s="3">
        <v>4.09625</v>
      </c>
      <c r="K20" s="3">
        <v>7.38625</v>
      </c>
      <c r="L20" s="5">
        <v>155</v>
      </c>
      <c r="M20" s="5">
        <v>4.91058064516129</v>
      </c>
      <c r="N20" s="5">
        <v>1.30329614036607</v>
      </c>
      <c r="O20" s="5">
        <v>4.70540144552098</v>
      </c>
      <c r="P20" s="5">
        <v>5.1157598448016</v>
      </c>
      <c r="Q20" s="5">
        <v>4.72</v>
      </c>
      <c r="R20" s="5">
        <v>4.44</v>
      </c>
      <c r="S20" s="5">
        <v>5.05</v>
      </c>
      <c r="T20" s="5">
        <v>4.05</v>
      </c>
      <c r="U20" s="5">
        <v>6.30950000000001</v>
      </c>
      <c r="V20" s="6">
        <v>0.173809448032495</v>
      </c>
    </row>
    <row r="21" ht="14.5" hidden="1" spans="1:22">
      <c r="A21" t="s">
        <v>1256</v>
      </c>
      <c r="B21">
        <v>156</v>
      </c>
      <c r="C21" s="3">
        <v>141.584615384615</v>
      </c>
      <c r="D21" s="3">
        <v>52.580522769271</v>
      </c>
      <c r="E21" s="3">
        <v>133.333385788209</v>
      </c>
      <c r="F21" s="3">
        <v>149.835844981022</v>
      </c>
      <c r="G21" s="3">
        <v>135</v>
      </c>
      <c r="H21" s="3">
        <v>101.85</v>
      </c>
      <c r="I21" s="3">
        <v>170.775</v>
      </c>
      <c r="J21" s="3">
        <v>56.9625</v>
      </c>
      <c r="K21" s="3">
        <v>253.65</v>
      </c>
      <c r="L21" s="5">
        <v>155</v>
      </c>
      <c r="M21" s="5">
        <v>138.935483870968</v>
      </c>
      <c r="N21" s="5">
        <v>55.8797918331511</v>
      </c>
      <c r="O21" s="5">
        <v>130.138273007462</v>
      </c>
      <c r="P21" s="5">
        <v>147.732694734473</v>
      </c>
      <c r="Q21" s="5">
        <v>133.1</v>
      </c>
      <c r="R21" s="5">
        <v>100.45</v>
      </c>
      <c r="S21" s="5">
        <v>166.6</v>
      </c>
      <c r="T21" s="5">
        <v>50.43</v>
      </c>
      <c r="U21" s="5">
        <v>272.485</v>
      </c>
      <c r="V21" s="6">
        <v>0.505866953098769</v>
      </c>
    </row>
    <row r="22" ht="14.5" hidden="1" spans="1:22">
      <c r="A22" s="2" t="s">
        <v>408</v>
      </c>
      <c r="B22">
        <v>156</v>
      </c>
      <c r="C22" s="3">
        <v>234.901987179487</v>
      </c>
      <c r="D22" s="3">
        <v>323.063544218661</v>
      </c>
      <c r="E22" s="3">
        <v>184.205049659974</v>
      </c>
      <c r="F22" s="3">
        <v>285.598924699</v>
      </c>
      <c r="G22" s="3">
        <v>184.23</v>
      </c>
      <c r="H22" s="3">
        <v>119.9675</v>
      </c>
      <c r="I22" s="3">
        <v>262.665</v>
      </c>
      <c r="J22" s="3">
        <v>49.135</v>
      </c>
      <c r="K22" s="3">
        <v>579.85625</v>
      </c>
      <c r="L22" s="5">
        <v>155</v>
      </c>
      <c r="M22" s="5">
        <v>235.342193548387</v>
      </c>
      <c r="N22" s="5">
        <v>298.629885094879</v>
      </c>
      <c r="O22" s="5">
        <v>188.328595552744</v>
      </c>
      <c r="P22" s="5">
        <v>282.35579154403</v>
      </c>
      <c r="Q22" s="5">
        <v>177.66</v>
      </c>
      <c r="R22" s="5">
        <v>115.75</v>
      </c>
      <c r="S22" s="5">
        <v>258.97</v>
      </c>
      <c r="T22" s="5">
        <v>42.594</v>
      </c>
      <c r="U22" s="5">
        <v>647.3065</v>
      </c>
      <c r="V22" s="6">
        <v>0.744408307731106</v>
      </c>
    </row>
    <row r="23" ht="14.5" hidden="1" spans="1:22">
      <c r="A23" t="s">
        <v>1257</v>
      </c>
      <c r="B23">
        <v>156</v>
      </c>
      <c r="C23" s="3">
        <v>79.0198717948718</v>
      </c>
      <c r="D23" s="3">
        <v>45.9206895810196</v>
      </c>
      <c r="E23" s="3">
        <v>71.8137404556879</v>
      </c>
      <c r="F23" s="3">
        <v>86.2260031340557</v>
      </c>
      <c r="G23" s="3">
        <v>69.15</v>
      </c>
      <c r="H23" s="3">
        <v>43.575</v>
      </c>
      <c r="I23" s="3">
        <v>102.225</v>
      </c>
      <c r="J23" s="3">
        <v>23.95</v>
      </c>
      <c r="K23" s="3">
        <v>205.8375</v>
      </c>
      <c r="L23" s="5">
        <v>155</v>
      </c>
      <c r="M23" s="5">
        <v>89.0735483870968</v>
      </c>
      <c r="N23" s="5">
        <v>58.4825060727391</v>
      </c>
      <c r="O23" s="5">
        <v>79.8665896481615</v>
      </c>
      <c r="P23" s="5">
        <v>98.280507126032</v>
      </c>
      <c r="Q23" s="5">
        <v>78.5</v>
      </c>
      <c r="R23" s="5">
        <v>48.85</v>
      </c>
      <c r="S23" s="5">
        <v>103.4</v>
      </c>
      <c r="T23" s="5">
        <v>23.54</v>
      </c>
      <c r="U23" s="5">
        <v>241.045</v>
      </c>
      <c r="V23" s="6">
        <v>0.171974145246058</v>
      </c>
    </row>
    <row r="24" ht="14.5" hidden="1" spans="1:22">
      <c r="A24" s="2" t="s">
        <v>415</v>
      </c>
      <c r="B24">
        <v>156</v>
      </c>
      <c r="C24" s="3">
        <v>47.7336538461538</v>
      </c>
      <c r="D24" s="3">
        <v>29.6173298460283</v>
      </c>
      <c r="E24" s="3">
        <v>43.0859368642507</v>
      </c>
      <c r="F24" s="3">
        <v>52.381370828057</v>
      </c>
      <c r="G24" s="3">
        <v>42.75</v>
      </c>
      <c r="H24" s="3">
        <v>26.11</v>
      </c>
      <c r="I24" s="3">
        <v>62.0775</v>
      </c>
      <c r="J24" s="3">
        <v>13.29375</v>
      </c>
      <c r="K24" s="3">
        <v>131.64875</v>
      </c>
      <c r="L24" s="5">
        <v>155</v>
      </c>
      <c r="M24" s="5">
        <v>54.7681290322581</v>
      </c>
      <c r="N24" s="5">
        <v>38.4987887444324</v>
      </c>
      <c r="O24" s="5">
        <v>48.7072266655211</v>
      </c>
      <c r="P24" s="5">
        <v>60.829031398995</v>
      </c>
      <c r="Q24" s="5">
        <v>48.21</v>
      </c>
      <c r="R24" s="5">
        <v>28.22</v>
      </c>
      <c r="S24" s="5">
        <v>63.64</v>
      </c>
      <c r="T24" s="5">
        <v>10.597</v>
      </c>
      <c r="U24" s="5">
        <v>156.19</v>
      </c>
      <c r="V24" s="6">
        <v>0.128256695616639</v>
      </c>
    </row>
    <row r="25" ht="14.5" hidden="1" spans="1:22">
      <c r="A25" s="2" t="s">
        <v>74</v>
      </c>
      <c r="B25">
        <v>156</v>
      </c>
      <c r="C25" s="3">
        <v>3.21955128205128</v>
      </c>
      <c r="D25" s="3">
        <v>4.03263626939303</v>
      </c>
      <c r="E25" s="3">
        <v>2.58672745328165</v>
      </c>
      <c r="F25" s="3">
        <v>3.85237511082092</v>
      </c>
      <c r="G25" s="3">
        <v>2.34</v>
      </c>
      <c r="H25" s="3">
        <v>1.61</v>
      </c>
      <c r="I25" s="3">
        <v>3.83</v>
      </c>
      <c r="J25" s="3">
        <v>0.7575</v>
      </c>
      <c r="K25" s="3">
        <v>7.525</v>
      </c>
      <c r="L25" s="5">
        <v>155</v>
      </c>
      <c r="M25" s="5">
        <v>2.83329032258065</v>
      </c>
      <c r="N25" s="5">
        <v>2.15330223889927</v>
      </c>
      <c r="O25" s="5">
        <v>2.49429382264707</v>
      </c>
      <c r="P25" s="5">
        <v>3.17228682251422</v>
      </c>
      <c r="Q25" s="5">
        <v>2.07</v>
      </c>
      <c r="R25" s="5">
        <v>1.57</v>
      </c>
      <c r="S25" s="5">
        <v>3.545</v>
      </c>
      <c r="T25" s="5">
        <v>0.64</v>
      </c>
      <c r="U25" s="5">
        <v>9.4455</v>
      </c>
      <c r="V25" s="6">
        <v>0.129204584884442</v>
      </c>
    </row>
    <row r="26" ht="14.5" hidden="1" spans="1:22">
      <c r="A26" s="2" t="s">
        <v>428</v>
      </c>
      <c r="B26">
        <v>156</v>
      </c>
      <c r="C26" s="3">
        <v>0.334358974358974</v>
      </c>
      <c r="D26" s="3">
        <v>0.0298853613357289</v>
      </c>
      <c r="E26" s="3">
        <v>0.329669196377216</v>
      </c>
      <c r="F26" s="3">
        <v>0.339048752340733</v>
      </c>
      <c r="G26" s="3">
        <v>0.34</v>
      </c>
      <c r="H26" s="3">
        <v>0.31</v>
      </c>
      <c r="I26" s="3">
        <v>0.35</v>
      </c>
      <c r="J26" s="3">
        <v>0.29</v>
      </c>
      <c r="K26" s="3">
        <v>0.4</v>
      </c>
      <c r="L26" s="5">
        <v>155</v>
      </c>
      <c r="M26" s="5">
        <v>0.34058064516129</v>
      </c>
      <c r="N26" s="5">
        <v>0.0338299550210153</v>
      </c>
      <c r="O26" s="5">
        <v>0.335254761902609</v>
      </c>
      <c r="P26" s="5">
        <v>0.345906528419972</v>
      </c>
      <c r="Q26" s="5">
        <v>0.34</v>
      </c>
      <c r="R26" s="5">
        <v>0.32</v>
      </c>
      <c r="S26" s="5">
        <v>0.36</v>
      </c>
      <c r="T26" s="5">
        <v>0.28</v>
      </c>
      <c r="U26" s="5">
        <v>0.41</v>
      </c>
      <c r="V26" s="6">
        <v>0.100719539086469</v>
      </c>
    </row>
    <row r="27" ht="14.5" hidden="1" spans="1:22">
      <c r="A27" s="2" t="s">
        <v>657</v>
      </c>
      <c r="B27">
        <v>156</v>
      </c>
      <c r="C27" s="3">
        <v>74.9294871794872</v>
      </c>
      <c r="D27" s="3">
        <v>14.8758918103982</v>
      </c>
      <c r="E27" s="3">
        <v>72.59507906952</v>
      </c>
      <c r="F27" s="3">
        <v>77.2638952894544</v>
      </c>
      <c r="G27" s="3">
        <v>74</v>
      </c>
      <c r="H27" s="3">
        <v>63.8</v>
      </c>
      <c r="I27" s="3">
        <v>84.95</v>
      </c>
      <c r="J27" s="3">
        <v>50.925</v>
      </c>
      <c r="K27" s="3">
        <v>104.3875</v>
      </c>
      <c r="L27" s="5">
        <v>155</v>
      </c>
      <c r="M27" s="5">
        <v>73.0670967741935</v>
      </c>
      <c r="N27" s="5">
        <v>15.2761001248042</v>
      </c>
      <c r="O27" s="5">
        <v>70.662165231657</v>
      </c>
      <c r="P27" s="5">
        <v>75.4720283167301</v>
      </c>
      <c r="Q27" s="5">
        <v>70.4</v>
      </c>
      <c r="R27" s="5">
        <v>61.4</v>
      </c>
      <c r="S27" s="5">
        <v>82.25</v>
      </c>
      <c r="T27" s="5">
        <v>47.88</v>
      </c>
      <c r="U27" s="5">
        <v>103.405</v>
      </c>
      <c r="V27" s="6">
        <v>0.182908068521473</v>
      </c>
    </row>
    <row r="28" ht="14.5" hidden="1" spans="1:22">
      <c r="A28" t="s">
        <v>1258</v>
      </c>
      <c r="B28">
        <v>156</v>
      </c>
      <c r="C28" s="3">
        <v>1.63179487179487</v>
      </c>
      <c r="D28" s="3">
        <v>0.0833762337877444</v>
      </c>
      <c r="E28" s="3">
        <v>1.61871100705497</v>
      </c>
      <c r="F28" s="3">
        <v>1.64487873653477</v>
      </c>
      <c r="G28" s="3">
        <v>1.63</v>
      </c>
      <c r="H28" s="3">
        <v>1.57</v>
      </c>
      <c r="I28" s="3">
        <v>1.69</v>
      </c>
      <c r="J28" s="3">
        <v>1.48</v>
      </c>
      <c r="K28" s="3">
        <v>1.80125</v>
      </c>
      <c r="L28" s="5">
        <v>155</v>
      </c>
      <c r="M28" s="5">
        <v>1.64122580645161</v>
      </c>
      <c r="N28" s="5">
        <v>0.0857687580018685</v>
      </c>
      <c r="O28" s="5">
        <v>1.62772314609997</v>
      </c>
      <c r="P28" s="5">
        <v>1.65472846680325</v>
      </c>
      <c r="Q28" s="5">
        <v>1.64</v>
      </c>
      <c r="R28" s="5">
        <v>1.575</v>
      </c>
      <c r="S28" s="5">
        <v>1.71</v>
      </c>
      <c r="T28" s="5">
        <v>1.4885</v>
      </c>
      <c r="U28" s="5">
        <v>1.78</v>
      </c>
      <c r="V28" s="6">
        <v>0.306603161703876</v>
      </c>
    </row>
    <row r="29" ht="16" hidden="1" spans="1:22">
      <c r="A29" s="2" t="s">
        <v>658</v>
      </c>
      <c r="B29">
        <v>156</v>
      </c>
      <c r="C29" s="3">
        <v>28.070641025641</v>
      </c>
      <c r="D29" s="3">
        <v>4.74428385152643</v>
      </c>
      <c r="E29" s="3">
        <v>27.3261414796543</v>
      </c>
      <c r="F29" s="3">
        <v>28.8151405716278</v>
      </c>
      <c r="G29" s="3">
        <v>27.565</v>
      </c>
      <c r="H29" s="3">
        <v>24.38</v>
      </c>
      <c r="I29" s="3">
        <v>31.33</v>
      </c>
      <c r="J29" s="3">
        <v>20.38</v>
      </c>
      <c r="K29" s="3">
        <v>38.0075</v>
      </c>
      <c r="L29" s="5">
        <v>155</v>
      </c>
      <c r="M29" s="5">
        <v>27.0383225806452</v>
      </c>
      <c r="N29" s="5">
        <v>4.67497243819292</v>
      </c>
      <c r="O29" s="5">
        <v>26.3023370486543</v>
      </c>
      <c r="P29" s="5">
        <v>27.774308112636</v>
      </c>
      <c r="Q29" s="5">
        <v>26.26</v>
      </c>
      <c r="R29" s="5">
        <v>23.925</v>
      </c>
      <c r="S29" s="5">
        <v>29.805</v>
      </c>
      <c r="T29" s="5">
        <v>20.331</v>
      </c>
      <c r="U29" s="5">
        <v>36.549</v>
      </c>
      <c r="V29" s="6">
        <v>0.0511969883625478</v>
      </c>
    </row>
    <row r="30" ht="14.5" hidden="1" spans="1:22">
      <c r="A30" t="s">
        <v>1259</v>
      </c>
      <c r="B30">
        <v>156</v>
      </c>
      <c r="C30" s="3">
        <v>37.2428846153846</v>
      </c>
      <c r="D30" s="3">
        <v>5.26367196860254</v>
      </c>
      <c r="E30" s="3">
        <v>36.4168797823081</v>
      </c>
      <c r="F30" s="3">
        <v>38.0688894484612</v>
      </c>
      <c r="G30" s="3">
        <v>37.48</v>
      </c>
      <c r="H30" s="3">
        <v>34.8575</v>
      </c>
      <c r="I30" s="3">
        <v>41.04</v>
      </c>
      <c r="J30" s="3">
        <v>24.36</v>
      </c>
      <c r="K30" s="3">
        <v>45.37</v>
      </c>
      <c r="L30" s="5">
        <v>155</v>
      </c>
      <c r="M30" s="5">
        <v>36.4530967741935</v>
      </c>
      <c r="N30" s="5">
        <v>5.73793794896375</v>
      </c>
      <c r="O30" s="5">
        <v>35.549767531138</v>
      </c>
      <c r="P30" s="5">
        <v>37.3564260172491</v>
      </c>
      <c r="Q30" s="5">
        <v>37.11</v>
      </c>
      <c r="R30" s="5">
        <v>33.29</v>
      </c>
      <c r="S30" s="5">
        <v>40.245</v>
      </c>
      <c r="T30" s="5">
        <v>22.096</v>
      </c>
      <c r="U30" s="5">
        <v>46.158</v>
      </c>
      <c r="V30" s="6">
        <v>0.210654650353123</v>
      </c>
    </row>
    <row r="31" ht="14.5" hidden="1" spans="1:22">
      <c r="A31" s="2" t="s">
        <v>663</v>
      </c>
      <c r="B31">
        <v>156</v>
      </c>
      <c r="C31" s="3">
        <v>93.2141025641026</v>
      </c>
      <c r="D31" s="3">
        <v>12.8326571744575</v>
      </c>
      <c r="E31" s="3">
        <v>91.2003302563783</v>
      </c>
      <c r="F31" s="3">
        <v>95.2278748718269</v>
      </c>
      <c r="G31" s="3">
        <v>92.8</v>
      </c>
      <c r="H31" s="3">
        <v>83.175</v>
      </c>
      <c r="I31" s="3">
        <v>101.4</v>
      </c>
      <c r="J31" s="3">
        <v>69.875</v>
      </c>
      <c r="K31" s="3">
        <v>118.475</v>
      </c>
      <c r="L31" s="5">
        <v>155</v>
      </c>
      <c r="M31" s="5">
        <v>91.1193548387097</v>
      </c>
      <c r="N31" s="5">
        <v>13.0802721325507</v>
      </c>
      <c r="O31" s="5">
        <v>89.0601146674925</v>
      </c>
      <c r="P31" s="5">
        <v>93.1785950099269</v>
      </c>
      <c r="Q31" s="5">
        <v>89.7</v>
      </c>
      <c r="R31" s="5">
        <v>81.2</v>
      </c>
      <c r="S31" s="5">
        <v>98.85</v>
      </c>
      <c r="T31" s="5">
        <v>71.625</v>
      </c>
      <c r="U31" s="5">
        <v>118.505</v>
      </c>
      <c r="V31" s="6">
        <v>0.0993972516946935</v>
      </c>
    </row>
    <row r="32" ht="14.5" hidden="1" spans="1:22">
      <c r="A32" s="2" t="s">
        <v>790</v>
      </c>
      <c r="B32">
        <v>156</v>
      </c>
      <c r="C32" s="3">
        <v>122.5</v>
      </c>
      <c r="D32" s="3">
        <v>17.4531631295249</v>
      </c>
      <c r="E32" s="3">
        <v>119.76115206581</v>
      </c>
      <c r="F32" s="3">
        <v>125.23884793419</v>
      </c>
      <c r="G32" s="3">
        <v>121</v>
      </c>
      <c r="H32" s="3">
        <v>109</v>
      </c>
      <c r="I32" s="3">
        <v>134</v>
      </c>
      <c r="J32" s="3">
        <v>94.875</v>
      </c>
      <c r="K32" s="3">
        <v>160</v>
      </c>
      <c r="L32" s="5">
        <v>154</v>
      </c>
      <c r="M32" s="5">
        <v>125.311688311688</v>
      </c>
      <c r="N32" s="5">
        <v>20.1914106764443</v>
      </c>
      <c r="O32" s="5">
        <v>122.122630641456</v>
      </c>
      <c r="P32" s="5">
        <v>128.500745981921</v>
      </c>
      <c r="Q32" s="5">
        <v>123.5</v>
      </c>
      <c r="R32" s="5">
        <v>112.25</v>
      </c>
      <c r="S32" s="5">
        <v>135</v>
      </c>
      <c r="T32" s="5">
        <v>93.825</v>
      </c>
      <c r="U32" s="5">
        <v>169.7</v>
      </c>
      <c r="V32" s="6">
        <v>0.32967824842341</v>
      </c>
    </row>
    <row r="33" ht="14.5" hidden="1" spans="1:22">
      <c r="A33" s="2" t="s">
        <v>795</v>
      </c>
      <c r="B33">
        <v>156</v>
      </c>
      <c r="C33" s="3">
        <v>79.1346153846154</v>
      </c>
      <c r="D33" s="3">
        <v>11.6014940853498</v>
      </c>
      <c r="E33" s="3">
        <v>77.314044071933</v>
      </c>
      <c r="F33" s="3">
        <v>80.9551866972977</v>
      </c>
      <c r="G33" s="3">
        <v>78</v>
      </c>
      <c r="H33" s="3">
        <v>70</v>
      </c>
      <c r="I33" s="3">
        <v>87.25</v>
      </c>
      <c r="J33" s="3">
        <v>59</v>
      </c>
      <c r="K33" s="3">
        <v>103</v>
      </c>
      <c r="L33" s="5">
        <v>155</v>
      </c>
      <c r="M33" s="5">
        <v>80.7354838709677</v>
      </c>
      <c r="N33" s="5">
        <v>12.8285787996019</v>
      </c>
      <c r="O33" s="5">
        <v>78.7158680299467</v>
      </c>
      <c r="P33" s="5">
        <v>82.7550997119888</v>
      </c>
      <c r="Q33" s="5">
        <v>80</v>
      </c>
      <c r="R33" s="5">
        <v>71</v>
      </c>
      <c r="S33" s="5">
        <v>87</v>
      </c>
      <c r="T33" s="5">
        <v>58.7</v>
      </c>
      <c r="U33" s="5">
        <v>104.3</v>
      </c>
      <c r="V33" s="6">
        <v>0.272627123311822</v>
      </c>
    </row>
    <row r="34" ht="14.5" hidden="1" spans="1:22">
      <c r="A34" s="4" t="s">
        <v>450</v>
      </c>
      <c r="B34">
        <v>156</v>
      </c>
      <c r="C34" s="3">
        <v>1912.75711538462</v>
      </c>
      <c r="D34" s="3">
        <v>224.241225213326</v>
      </c>
      <c r="E34" s="3">
        <v>1877.56792865222</v>
      </c>
      <c r="F34" s="3">
        <v>1947.94630211701</v>
      </c>
      <c r="G34" s="3">
        <v>1881.19</v>
      </c>
      <c r="H34" s="3">
        <v>1725.765</v>
      </c>
      <c r="I34" s="3">
        <v>2066.965</v>
      </c>
      <c r="J34" s="3">
        <v>1594.845</v>
      </c>
      <c r="K34" s="3">
        <v>2357.2225</v>
      </c>
      <c r="L34" s="5">
        <v>155</v>
      </c>
      <c r="M34" s="5">
        <v>2000.61690322581</v>
      </c>
      <c r="N34" s="5">
        <v>230.043627789277</v>
      </c>
      <c r="O34" s="5">
        <v>1964.40090751289</v>
      </c>
      <c r="P34" s="5">
        <v>2036.83289893872</v>
      </c>
      <c r="Q34" s="5">
        <v>1986.28</v>
      </c>
      <c r="R34" s="5">
        <v>1800.16</v>
      </c>
      <c r="S34" s="5">
        <v>2206.575</v>
      </c>
      <c r="T34" s="5">
        <v>1649.485</v>
      </c>
      <c r="U34" s="5">
        <v>2385.8765</v>
      </c>
      <c r="V34" s="6">
        <v>0.000767490873450665</v>
      </c>
    </row>
    <row r="35" ht="14.5" hidden="1" spans="1:22">
      <c r="A35" s="4" t="s">
        <v>457</v>
      </c>
      <c r="B35">
        <v>156</v>
      </c>
      <c r="C35" s="3">
        <v>15.4382692307692</v>
      </c>
      <c r="D35" s="3">
        <v>3.57380851581227</v>
      </c>
      <c r="E35" s="3">
        <v>14.8774472182731</v>
      </c>
      <c r="F35" s="3">
        <v>15.9990912432654</v>
      </c>
      <c r="G35" s="3">
        <v>14.83</v>
      </c>
      <c r="H35" s="3">
        <v>13.015</v>
      </c>
      <c r="I35" s="3">
        <v>17.3025</v>
      </c>
      <c r="J35" s="3">
        <v>10.0075</v>
      </c>
      <c r="K35" s="3">
        <v>24.61</v>
      </c>
      <c r="L35" s="5">
        <v>155</v>
      </c>
      <c r="M35" s="5">
        <v>20.2523870967742</v>
      </c>
      <c r="N35" s="5">
        <v>4.01211073830918</v>
      </c>
      <c r="O35" s="5">
        <v>19.6207565374116</v>
      </c>
      <c r="P35" s="5">
        <v>20.8840176561368</v>
      </c>
      <c r="Q35" s="5">
        <v>19.71</v>
      </c>
      <c r="R35" s="5">
        <v>17.49</v>
      </c>
      <c r="S35" s="5">
        <v>22.3</v>
      </c>
      <c r="T35" s="5">
        <v>13.8015</v>
      </c>
      <c r="U35" s="5">
        <v>28.9815</v>
      </c>
      <c r="V35" s="6">
        <v>7.2523056414934e-24</v>
      </c>
    </row>
    <row r="36" ht="14.5" hidden="1" spans="1:22">
      <c r="A36" s="4" t="s">
        <v>464</v>
      </c>
      <c r="B36">
        <v>156</v>
      </c>
      <c r="C36" s="3">
        <v>597.459615384615</v>
      </c>
      <c r="D36" s="3">
        <v>222.3409578767</v>
      </c>
      <c r="E36" s="3">
        <v>562.568629226566</v>
      </c>
      <c r="F36" s="3">
        <v>632.350601542665</v>
      </c>
      <c r="G36" s="3">
        <v>578.86</v>
      </c>
      <c r="H36" s="3">
        <v>423.59</v>
      </c>
      <c r="I36" s="3">
        <v>728.6575</v>
      </c>
      <c r="J36" s="3">
        <v>267.07125</v>
      </c>
      <c r="K36" s="3">
        <v>1116.11</v>
      </c>
      <c r="L36" s="5">
        <v>155</v>
      </c>
      <c r="M36" s="5">
        <v>668.409612903226</v>
      </c>
      <c r="N36" s="5">
        <v>206.015340551878</v>
      </c>
      <c r="O36" s="5">
        <v>635.976414201213</v>
      </c>
      <c r="P36" s="5">
        <v>700.842811605239</v>
      </c>
      <c r="Q36" s="5">
        <v>651.31</v>
      </c>
      <c r="R36" s="5">
        <v>513.545</v>
      </c>
      <c r="S36" s="5">
        <v>795.4</v>
      </c>
      <c r="T36" s="5">
        <v>316.5215</v>
      </c>
      <c r="U36" s="5">
        <v>1110.067</v>
      </c>
      <c r="V36" s="6">
        <v>0.00160899960111323</v>
      </c>
    </row>
    <row r="37" ht="14.5" hidden="1" spans="1:22">
      <c r="A37" s="4" t="s">
        <v>471</v>
      </c>
      <c r="B37">
        <v>156</v>
      </c>
      <c r="C37" s="3">
        <v>992.197115384615</v>
      </c>
      <c r="D37" s="3">
        <v>177.650496704533</v>
      </c>
      <c r="E37" s="3">
        <v>964.319206245959</v>
      </c>
      <c r="F37" s="3">
        <v>1020.07502452327</v>
      </c>
      <c r="G37" s="3">
        <v>987.67</v>
      </c>
      <c r="H37" s="3">
        <v>862.5575</v>
      </c>
      <c r="I37" s="3">
        <v>1103.755</v>
      </c>
      <c r="J37" s="3">
        <v>655.42125</v>
      </c>
      <c r="K37" s="3">
        <v>1356.1975</v>
      </c>
      <c r="L37" s="5">
        <v>155</v>
      </c>
      <c r="M37" s="5">
        <v>1078.1184516129</v>
      </c>
      <c r="N37" s="5">
        <v>164.335898660323</v>
      </c>
      <c r="O37" s="5">
        <v>1052.24688864654</v>
      </c>
      <c r="P37" s="5">
        <v>1103.99001457926</v>
      </c>
      <c r="Q37" s="5">
        <v>1078.31</v>
      </c>
      <c r="R37" s="5">
        <v>960.675</v>
      </c>
      <c r="S37" s="5">
        <v>1167.68</v>
      </c>
      <c r="T37" s="5">
        <v>783.8675</v>
      </c>
      <c r="U37" s="5">
        <v>1428.0485</v>
      </c>
      <c r="V37" s="6">
        <v>3.21667831155394e-5</v>
      </c>
    </row>
    <row r="38" ht="14.5" hidden="1" spans="1:22">
      <c r="A38" s="4" t="s">
        <v>478</v>
      </c>
      <c r="B38">
        <v>156</v>
      </c>
      <c r="C38" s="3">
        <v>12.8014743589744</v>
      </c>
      <c r="D38" s="3">
        <v>1.4204673490302</v>
      </c>
      <c r="E38" s="3">
        <v>12.5785666811166</v>
      </c>
      <c r="F38" s="3">
        <v>13.0243820368322</v>
      </c>
      <c r="G38" s="3">
        <v>12.705</v>
      </c>
      <c r="H38" s="3">
        <v>11.695</v>
      </c>
      <c r="I38" s="3">
        <v>13.7325</v>
      </c>
      <c r="J38" s="3">
        <v>10.61</v>
      </c>
      <c r="K38" s="3">
        <v>15.3975</v>
      </c>
      <c r="L38" s="5">
        <v>155</v>
      </c>
      <c r="M38" s="5">
        <v>14.2447741935484</v>
      </c>
      <c r="N38" s="5">
        <v>1.59500247749833</v>
      </c>
      <c r="O38" s="5">
        <v>13.9936713769119</v>
      </c>
      <c r="P38" s="5">
        <v>14.4958770101849</v>
      </c>
      <c r="Q38" s="5">
        <v>14.18</v>
      </c>
      <c r="R38" s="5">
        <v>13.265</v>
      </c>
      <c r="S38" s="5">
        <v>15.285</v>
      </c>
      <c r="T38" s="5">
        <v>11.4485</v>
      </c>
      <c r="U38" s="5">
        <v>17.6345</v>
      </c>
      <c r="V38" s="6">
        <v>6.42147432275336e-14</v>
      </c>
    </row>
    <row r="39" ht="14.5" hidden="1" spans="1:22">
      <c r="A39" s="4" t="s">
        <v>485</v>
      </c>
      <c r="B39">
        <v>156</v>
      </c>
      <c r="C39" s="3">
        <v>1265.32480769231</v>
      </c>
      <c r="D39" s="3">
        <v>321.657490156084</v>
      </c>
      <c r="E39" s="3">
        <v>1214.84851603716</v>
      </c>
      <c r="F39" s="3">
        <v>1315.80109934745</v>
      </c>
      <c r="G39" s="3">
        <v>1258.615</v>
      </c>
      <c r="H39" s="3">
        <v>1030.035</v>
      </c>
      <c r="I39" s="3">
        <v>1447.845</v>
      </c>
      <c r="J39" s="3">
        <v>706.74875</v>
      </c>
      <c r="K39" s="3">
        <v>2025.8325</v>
      </c>
      <c r="L39" s="5">
        <v>155</v>
      </c>
      <c r="M39" s="5">
        <v>1305.56064516129</v>
      </c>
      <c r="N39" s="5">
        <v>286.113168093892</v>
      </c>
      <c r="O39" s="5">
        <v>1260.51756629545</v>
      </c>
      <c r="P39" s="5">
        <v>1350.60372402713</v>
      </c>
      <c r="Q39" s="5">
        <v>1283.07</v>
      </c>
      <c r="R39" s="5">
        <v>1122.15</v>
      </c>
      <c r="S39" s="5">
        <v>1543.015</v>
      </c>
      <c r="T39" s="5">
        <v>821.352</v>
      </c>
      <c r="U39" s="5">
        <v>1835.381</v>
      </c>
      <c r="V39" s="6">
        <v>0.233324986275787</v>
      </c>
    </row>
    <row r="40" ht="14.5" hidden="1" spans="1:22">
      <c r="A40" s="4" t="s">
        <v>492</v>
      </c>
      <c r="B40">
        <v>156</v>
      </c>
      <c r="C40" s="3">
        <v>2798.63929487179</v>
      </c>
      <c r="D40" s="3">
        <v>600.925564333739</v>
      </c>
      <c r="E40" s="3">
        <v>2704.33869570457</v>
      </c>
      <c r="F40" s="3">
        <v>2892.93989403902</v>
      </c>
      <c r="G40" s="3">
        <v>2768.44</v>
      </c>
      <c r="H40" s="3">
        <v>2423.625</v>
      </c>
      <c r="I40" s="3">
        <v>3161.7375</v>
      </c>
      <c r="J40" s="3">
        <v>1710.06125</v>
      </c>
      <c r="K40" s="3">
        <v>4047.49</v>
      </c>
      <c r="L40" s="5">
        <v>155</v>
      </c>
      <c r="M40" s="5">
        <v>3360.89032258065</v>
      </c>
      <c r="N40" s="5">
        <v>582.417004841991</v>
      </c>
      <c r="O40" s="5">
        <v>3269.19983780961</v>
      </c>
      <c r="P40" s="5">
        <v>3452.58080735168</v>
      </c>
      <c r="Q40" s="5">
        <v>3304.95</v>
      </c>
      <c r="R40" s="5">
        <v>2936.07</v>
      </c>
      <c r="S40" s="5">
        <v>3746.255</v>
      </c>
      <c r="T40" s="5">
        <v>2399.881</v>
      </c>
      <c r="U40" s="5">
        <v>4549.899</v>
      </c>
      <c r="V40" s="6">
        <v>9.74577543737512e-15</v>
      </c>
    </row>
    <row r="41" ht="14.5" hidden="1" spans="1:22">
      <c r="A41" s="4" t="s">
        <v>499</v>
      </c>
      <c r="B41">
        <v>156</v>
      </c>
      <c r="C41" s="3">
        <v>221.900769230769</v>
      </c>
      <c r="D41" s="3">
        <v>32.9224888632809</v>
      </c>
      <c r="E41" s="3">
        <v>216.73438821763</v>
      </c>
      <c r="F41" s="3">
        <v>227.067150243908</v>
      </c>
      <c r="G41" s="3">
        <v>220.655</v>
      </c>
      <c r="H41" s="3">
        <v>196.5975</v>
      </c>
      <c r="I41" s="3">
        <v>244.14</v>
      </c>
      <c r="J41" s="3">
        <v>167.45</v>
      </c>
      <c r="K41" s="3">
        <v>290.75</v>
      </c>
      <c r="L41" s="5">
        <v>155</v>
      </c>
      <c r="M41" s="5">
        <v>262.756580645161</v>
      </c>
      <c r="N41" s="5">
        <v>43.2174489838728</v>
      </c>
      <c r="O41" s="5">
        <v>255.952814932699</v>
      </c>
      <c r="P41" s="5">
        <v>269.560346357623</v>
      </c>
      <c r="Q41" s="5">
        <v>254.42</v>
      </c>
      <c r="R41" s="5">
        <v>236.615</v>
      </c>
      <c r="S41" s="5">
        <v>282.895</v>
      </c>
      <c r="T41" s="5">
        <v>198.869</v>
      </c>
      <c r="U41" s="5">
        <v>371.945</v>
      </c>
      <c r="V41" s="6">
        <v>1.06468978931696e-17</v>
      </c>
    </row>
    <row r="42" ht="14.5" hidden="1" spans="1:22">
      <c r="A42" s="4" t="s">
        <v>506</v>
      </c>
      <c r="B42">
        <v>156</v>
      </c>
      <c r="C42" s="3">
        <v>10.3</v>
      </c>
      <c r="D42" s="3">
        <v>0.625701155092326</v>
      </c>
      <c r="E42" s="3">
        <v>10.2018114766173</v>
      </c>
      <c r="F42" s="3">
        <v>10.3981885233827</v>
      </c>
      <c r="G42" s="3">
        <v>10.28</v>
      </c>
      <c r="H42" s="3">
        <v>9.905</v>
      </c>
      <c r="I42" s="3">
        <v>10.695</v>
      </c>
      <c r="J42" s="3">
        <v>9.1975</v>
      </c>
      <c r="K42" s="3">
        <v>11.615</v>
      </c>
      <c r="L42" s="5">
        <v>155</v>
      </c>
      <c r="M42" s="5">
        <v>10.5583225806452</v>
      </c>
      <c r="N42" s="5">
        <v>0.586385382955567</v>
      </c>
      <c r="O42" s="5">
        <v>10.4660073501851</v>
      </c>
      <c r="P42" s="5">
        <v>10.6506378111052</v>
      </c>
      <c r="Q42" s="5">
        <v>10.54</v>
      </c>
      <c r="R42" s="5">
        <v>10.11</v>
      </c>
      <c r="S42" s="5">
        <v>10.9</v>
      </c>
      <c r="T42" s="5">
        <v>9.657</v>
      </c>
      <c r="U42" s="5">
        <v>11.9215</v>
      </c>
      <c r="V42" s="6">
        <v>0.000477587829079492</v>
      </c>
    </row>
    <row r="43" ht="14.5" hidden="1" spans="1:22">
      <c r="A43" s="4" t="s">
        <v>513</v>
      </c>
      <c r="B43">
        <v>156</v>
      </c>
      <c r="C43" s="3">
        <v>1.34538461538462</v>
      </c>
      <c r="D43" s="3">
        <v>0.536014425197542</v>
      </c>
      <c r="E43" s="3">
        <v>1.26127023507123</v>
      </c>
      <c r="F43" s="3">
        <v>1.429498995698</v>
      </c>
      <c r="G43" s="3">
        <v>1.245</v>
      </c>
      <c r="H43" s="3">
        <v>1.0575</v>
      </c>
      <c r="I43" s="3">
        <v>1.48</v>
      </c>
      <c r="J43" s="3">
        <v>0.8075</v>
      </c>
      <c r="K43" s="3">
        <v>2.56125</v>
      </c>
      <c r="L43" s="5">
        <v>155</v>
      </c>
      <c r="M43" s="5">
        <v>2.00587096774194</v>
      </c>
      <c r="N43" s="5">
        <v>0.954188842357176</v>
      </c>
      <c r="O43" s="5">
        <v>1.85565207510748</v>
      </c>
      <c r="P43" s="5">
        <v>2.15608986037639</v>
      </c>
      <c r="Q43" s="5">
        <v>1.66</v>
      </c>
      <c r="R43" s="5">
        <v>1.42</v>
      </c>
      <c r="S43" s="5">
        <v>2.3</v>
      </c>
      <c r="T43" s="5">
        <v>1.02</v>
      </c>
      <c r="U43" s="5">
        <v>4.606</v>
      </c>
      <c r="V43" s="6">
        <v>4.24748954878773e-20</v>
      </c>
    </row>
    <row r="44" ht="14.5" hidden="1" spans="1:22">
      <c r="A44" s="4" t="s">
        <v>520</v>
      </c>
      <c r="B44">
        <v>156</v>
      </c>
      <c r="C44" s="3">
        <v>3.00730769230769</v>
      </c>
      <c r="D44" s="3">
        <v>0.483494465597102</v>
      </c>
      <c r="E44" s="3">
        <v>2.93143503767967</v>
      </c>
      <c r="F44" s="3">
        <v>3.08318034693571</v>
      </c>
      <c r="G44" s="3">
        <v>2.975</v>
      </c>
      <c r="H44" s="3">
        <v>2.67</v>
      </c>
      <c r="I44" s="3">
        <v>3.24</v>
      </c>
      <c r="J44" s="3">
        <v>2.2475</v>
      </c>
      <c r="K44" s="3">
        <v>4.14</v>
      </c>
      <c r="L44" s="5">
        <v>155</v>
      </c>
      <c r="M44" s="5">
        <v>3.30412903225806</v>
      </c>
      <c r="N44" s="5">
        <v>0.431055465585805</v>
      </c>
      <c r="O44" s="5">
        <v>3.2362675442277</v>
      </c>
      <c r="P44" s="5">
        <v>3.37199052028843</v>
      </c>
      <c r="Q44" s="5">
        <v>3.27</v>
      </c>
      <c r="R44" s="5">
        <v>3.025</v>
      </c>
      <c r="S44" s="5">
        <v>3.515</v>
      </c>
      <c r="T44" s="5">
        <v>2.6565</v>
      </c>
      <c r="U44" s="5">
        <v>4.2815</v>
      </c>
      <c r="V44" s="6">
        <v>1.43442899362802e-9</v>
      </c>
    </row>
    <row r="45" ht="14.5" hidden="1" spans="1:22">
      <c r="A45" s="4" t="s">
        <v>527</v>
      </c>
      <c r="B45">
        <v>156</v>
      </c>
      <c r="C45" s="3">
        <v>744.568012820513</v>
      </c>
      <c r="D45" s="3">
        <v>141.481024162116</v>
      </c>
      <c r="E45" s="3">
        <v>722.366019526931</v>
      </c>
      <c r="F45" s="3">
        <v>766.770006114095</v>
      </c>
      <c r="G45" s="3">
        <v>733.085</v>
      </c>
      <c r="H45" s="3">
        <v>647.825</v>
      </c>
      <c r="I45" s="3">
        <v>828.39</v>
      </c>
      <c r="J45" s="3">
        <v>501.655</v>
      </c>
      <c r="K45" s="3">
        <v>1027.03</v>
      </c>
      <c r="L45" s="5">
        <v>155</v>
      </c>
      <c r="M45" s="5">
        <v>885.419290322581</v>
      </c>
      <c r="N45" s="5">
        <v>171.548868127967</v>
      </c>
      <c r="O45" s="5">
        <v>858.412182443162</v>
      </c>
      <c r="P45" s="5">
        <v>912.426398202</v>
      </c>
      <c r="Q45" s="5">
        <v>862.86</v>
      </c>
      <c r="R45" s="5">
        <v>772.77</v>
      </c>
      <c r="S45" s="5">
        <v>965.51</v>
      </c>
      <c r="T45" s="5">
        <v>625.633</v>
      </c>
      <c r="U45" s="5">
        <v>1332.3505</v>
      </c>
      <c r="V45" s="6">
        <v>2.00589897177994e-13</v>
      </c>
    </row>
    <row r="46" ht="14.5" hidden="1" spans="1:22">
      <c r="A46" s="4" t="s">
        <v>534</v>
      </c>
      <c r="B46">
        <v>156</v>
      </c>
      <c r="C46" s="3">
        <v>1.01685897435897</v>
      </c>
      <c r="D46" s="3">
        <v>0.228277715660834</v>
      </c>
      <c r="E46" s="3">
        <v>0.981036358978635</v>
      </c>
      <c r="F46" s="3">
        <v>1.05268158973931</v>
      </c>
      <c r="G46" s="3">
        <v>0.985</v>
      </c>
      <c r="H46" s="3">
        <v>0.8575</v>
      </c>
      <c r="I46" s="3">
        <v>1.15</v>
      </c>
      <c r="J46" s="3">
        <v>0.68625</v>
      </c>
      <c r="K46" s="3">
        <v>1.605</v>
      </c>
      <c r="L46" s="5">
        <v>155</v>
      </c>
      <c r="M46" s="5">
        <v>1.30935483870968</v>
      </c>
      <c r="N46" s="5">
        <v>0.506423257887147</v>
      </c>
      <c r="O46" s="5">
        <v>1.22962812463889</v>
      </c>
      <c r="P46" s="5">
        <v>1.38908155278046</v>
      </c>
      <c r="Q46" s="5">
        <v>1.24</v>
      </c>
      <c r="R46" s="5">
        <v>1.065</v>
      </c>
      <c r="S46" s="5">
        <v>1.435</v>
      </c>
      <c r="T46" s="5">
        <v>0.8785</v>
      </c>
      <c r="U46" s="5">
        <v>2.066</v>
      </c>
      <c r="V46" s="6">
        <v>1.47277636857272e-17</v>
      </c>
    </row>
    <row r="47" ht="14.5" hidden="1" spans="1:22">
      <c r="A47" s="4" t="s">
        <v>541</v>
      </c>
      <c r="B47">
        <v>156</v>
      </c>
      <c r="C47" s="3">
        <v>1.64929487179487</v>
      </c>
      <c r="D47" s="3">
        <v>0.408909031889281</v>
      </c>
      <c r="E47" s="3">
        <v>1.58512658041123</v>
      </c>
      <c r="F47" s="3">
        <v>1.71346316317851</v>
      </c>
      <c r="G47" s="3">
        <v>1.57</v>
      </c>
      <c r="H47" s="3">
        <v>1.3575</v>
      </c>
      <c r="I47" s="3">
        <v>1.89</v>
      </c>
      <c r="J47" s="3">
        <v>1.065</v>
      </c>
      <c r="K47" s="3">
        <v>2.505</v>
      </c>
      <c r="L47" s="5">
        <v>155</v>
      </c>
      <c r="M47" s="5">
        <v>1.91051612903226</v>
      </c>
      <c r="N47" s="5">
        <v>0.670582024335235</v>
      </c>
      <c r="O47" s="5">
        <v>1.80494573809438</v>
      </c>
      <c r="P47" s="5">
        <v>2.01608651997014</v>
      </c>
      <c r="Q47" s="5">
        <v>1.81</v>
      </c>
      <c r="R47" s="5">
        <v>1.555</v>
      </c>
      <c r="S47" s="5">
        <v>2.12</v>
      </c>
      <c r="T47" s="5">
        <v>1.2125</v>
      </c>
      <c r="U47" s="5">
        <v>3.0245</v>
      </c>
      <c r="V47" s="6">
        <v>2.55933312387853e-6</v>
      </c>
    </row>
    <row r="48" ht="14.5" hidden="1" spans="1:22">
      <c r="A48" s="4" t="s">
        <v>548</v>
      </c>
      <c r="B48">
        <v>156</v>
      </c>
      <c r="C48" s="3">
        <v>14.9744871794872</v>
      </c>
      <c r="D48" s="3">
        <v>3.44022172857653</v>
      </c>
      <c r="E48" s="3">
        <v>14.4346283524916</v>
      </c>
      <c r="F48" s="3">
        <v>15.5143460064827</v>
      </c>
      <c r="G48" s="3">
        <v>14.595</v>
      </c>
      <c r="H48" s="3">
        <v>12.965</v>
      </c>
      <c r="I48" s="3">
        <v>16.235</v>
      </c>
      <c r="J48" s="3">
        <v>9.7075</v>
      </c>
      <c r="K48" s="3">
        <v>24.16625</v>
      </c>
      <c r="L48" s="5">
        <v>155</v>
      </c>
      <c r="M48" s="5">
        <v>18.3378064516129</v>
      </c>
      <c r="N48" s="5">
        <v>6.42329357509885</v>
      </c>
      <c r="O48" s="5">
        <v>17.3265809948849</v>
      </c>
      <c r="P48" s="5">
        <v>19.3490319083409</v>
      </c>
      <c r="Q48" s="5">
        <v>17.25</v>
      </c>
      <c r="R48" s="5">
        <v>14.85</v>
      </c>
      <c r="S48" s="5">
        <v>20.79</v>
      </c>
      <c r="T48" s="5">
        <v>11.675</v>
      </c>
      <c r="U48" s="5">
        <v>30.0485</v>
      </c>
      <c r="V48" s="6">
        <v>1.5156878476778e-10</v>
      </c>
    </row>
    <row r="49" ht="14.5" hidden="1" spans="1:22">
      <c r="A49" s="4" t="s">
        <v>555</v>
      </c>
      <c r="B49">
        <v>156</v>
      </c>
      <c r="C49" s="3">
        <v>4.75179487179487</v>
      </c>
      <c r="D49" s="3">
        <v>0.994458508633159</v>
      </c>
      <c r="E49" s="3">
        <v>4.59573888287215</v>
      </c>
      <c r="F49" s="3">
        <v>4.9078508607176</v>
      </c>
      <c r="G49" s="3">
        <v>4.635</v>
      </c>
      <c r="H49" s="3">
        <v>4.1775</v>
      </c>
      <c r="I49" s="3">
        <v>5.0325</v>
      </c>
      <c r="J49" s="3">
        <v>3.46625</v>
      </c>
      <c r="K49" s="3">
        <v>7.52375</v>
      </c>
      <c r="L49" s="5">
        <v>155</v>
      </c>
      <c r="M49" s="5">
        <v>5.36509677419355</v>
      </c>
      <c r="N49" s="5">
        <v>1.65763811308457</v>
      </c>
      <c r="O49" s="5">
        <v>5.10413316753357</v>
      </c>
      <c r="P49" s="5">
        <v>5.62606038085353</v>
      </c>
      <c r="Q49" s="5">
        <v>5.05</v>
      </c>
      <c r="R49" s="5">
        <v>4.635</v>
      </c>
      <c r="S49" s="5">
        <v>5.565</v>
      </c>
      <c r="T49" s="5">
        <v>3.811</v>
      </c>
      <c r="U49" s="5">
        <v>7.7575</v>
      </c>
      <c r="V49" s="6">
        <v>1.92964815824007e-8</v>
      </c>
    </row>
    <row r="50" ht="14.5" hidden="1" spans="1:22">
      <c r="A50" s="4" t="s">
        <v>562</v>
      </c>
      <c r="B50">
        <v>156</v>
      </c>
      <c r="C50" s="3">
        <v>1.37179487179487</v>
      </c>
      <c r="D50" s="3">
        <v>0.542582221721621</v>
      </c>
      <c r="E50" s="3">
        <v>1.28664983613216</v>
      </c>
      <c r="F50" s="3">
        <v>1.45693990745758</v>
      </c>
      <c r="G50" s="3">
        <v>1.28</v>
      </c>
      <c r="H50" s="3">
        <v>0.98</v>
      </c>
      <c r="I50" s="3">
        <v>1.58</v>
      </c>
      <c r="J50" s="3">
        <v>0.6525</v>
      </c>
      <c r="K50" s="3">
        <v>2.74375</v>
      </c>
      <c r="L50" s="5">
        <v>155</v>
      </c>
      <c r="M50" s="5">
        <v>1.69554838709677</v>
      </c>
      <c r="N50" s="5">
        <v>0.713680002081296</v>
      </c>
      <c r="O50" s="5">
        <v>1.58319303892149</v>
      </c>
      <c r="P50" s="5">
        <v>1.80790373527206</v>
      </c>
      <c r="Q50" s="5">
        <v>1.55</v>
      </c>
      <c r="R50" s="5">
        <v>1.21</v>
      </c>
      <c r="S50" s="5">
        <v>2.07</v>
      </c>
      <c r="T50" s="5">
        <v>0.83</v>
      </c>
      <c r="U50" s="5">
        <v>3.152</v>
      </c>
      <c r="V50" s="6">
        <v>1.34825260781447e-6</v>
      </c>
    </row>
    <row r="51" ht="14.5" hidden="1" spans="1:22">
      <c r="A51" s="4" t="s">
        <v>569</v>
      </c>
      <c r="B51">
        <v>156</v>
      </c>
      <c r="C51" s="3">
        <v>326.334615384615</v>
      </c>
      <c r="D51" s="3">
        <v>52.5476653468021</v>
      </c>
      <c r="E51" s="3">
        <v>318.088541958639</v>
      </c>
      <c r="F51" s="3">
        <v>334.580688810591</v>
      </c>
      <c r="G51" s="3">
        <v>317.03</v>
      </c>
      <c r="H51" s="3">
        <v>295.1825</v>
      </c>
      <c r="I51" s="3">
        <v>355.44</v>
      </c>
      <c r="J51" s="3">
        <v>239.55125</v>
      </c>
      <c r="K51" s="3">
        <v>443.34375</v>
      </c>
      <c r="L51" s="5">
        <v>155</v>
      </c>
      <c r="M51" s="5">
        <v>380.191419354839</v>
      </c>
      <c r="N51" s="5">
        <v>58.003265542181</v>
      </c>
      <c r="O51" s="5">
        <v>371.059907926342</v>
      </c>
      <c r="P51" s="5">
        <v>389.322930783336</v>
      </c>
      <c r="Q51" s="5">
        <v>370.46</v>
      </c>
      <c r="R51" s="5">
        <v>338.96</v>
      </c>
      <c r="S51" s="5">
        <v>414.885</v>
      </c>
      <c r="T51" s="5">
        <v>289.566</v>
      </c>
      <c r="U51" s="5">
        <v>507.397</v>
      </c>
      <c r="V51" s="6">
        <v>2.98931923620566e-15</v>
      </c>
    </row>
    <row r="52" ht="14.5" hidden="1" spans="1:22">
      <c r="A52" s="4" t="s">
        <v>576</v>
      </c>
      <c r="B52">
        <v>156</v>
      </c>
      <c r="C52" s="3">
        <v>7.18288461538462</v>
      </c>
      <c r="D52" s="3">
        <v>0.32617828019576</v>
      </c>
      <c r="E52" s="3">
        <v>7.13169889608193</v>
      </c>
      <c r="F52" s="3">
        <v>7.2340703346873</v>
      </c>
      <c r="G52" s="3">
        <v>7.135</v>
      </c>
      <c r="H52" s="3">
        <v>6.98</v>
      </c>
      <c r="I52" s="3">
        <v>7.38</v>
      </c>
      <c r="J52" s="3">
        <v>6.60375</v>
      </c>
      <c r="K52" s="3">
        <v>7.82625</v>
      </c>
      <c r="L52" s="5">
        <v>155</v>
      </c>
      <c r="M52" s="5">
        <v>7.1758064516129</v>
      </c>
      <c r="N52" s="5">
        <v>0.370492601127977</v>
      </c>
      <c r="O52" s="5">
        <v>7.1174794351984</v>
      </c>
      <c r="P52" s="5">
        <v>7.23413346802741</v>
      </c>
      <c r="Q52" s="5">
        <v>7.17</v>
      </c>
      <c r="R52" s="5">
        <v>6.94</v>
      </c>
      <c r="S52" s="5">
        <v>7.42</v>
      </c>
      <c r="T52" s="5">
        <v>6.546</v>
      </c>
      <c r="U52" s="5">
        <v>7.905</v>
      </c>
      <c r="V52" s="6">
        <v>0.860331251016884</v>
      </c>
    </row>
    <row r="53" ht="14.5" hidden="1" spans="1:22">
      <c r="A53" s="4" t="s">
        <v>583</v>
      </c>
      <c r="B53">
        <v>156</v>
      </c>
      <c r="C53" s="3">
        <v>130.428333333333</v>
      </c>
      <c r="D53" s="3">
        <v>41.4032448601101</v>
      </c>
      <c r="E53" s="3">
        <v>123.931104675564</v>
      </c>
      <c r="F53" s="3">
        <v>136.925561991103</v>
      </c>
      <c r="G53" s="3">
        <v>124.375</v>
      </c>
      <c r="H53" s="3">
        <v>100.5925</v>
      </c>
      <c r="I53" s="3">
        <v>155.765</v>
      </c>
      <c r="J53" s="3">
        <v>60.34</v>
      </c>
      <c r="K53" s="3">
        <v>218.93875</v>
      </c>
      <c r="L53" s="5">
        <v>155</v>
      </c>
      <c r="M53" s="5">
        <v>203.773935483871</v>
      </c>
      <c r="N53" s="5">
        <v>55.4223148187257</v>
      </c>
      <c r="O53" s="5">
        <v>195.048745678947</v>
      </c>
      <c r="P53" s="5">
        <v>212.499125288795</v>
      </c>
      <c r="Q53" s="5">
        <v>199.45</v>
      </c>
      <c r="R53" s="5">
        <v>164.65</v>
      </c>
      <c r="S53" s="5">
        <v>232.755</v>
      </c>
      <c r="T53" s="5">
        <v>115.9485</v>
      </c>
      <c r="U53" s="5">
        <v>320.8295</v>
      </c>
      <c r="V53" s="6">
        <v>6.80205890925224e-28</v>
      </c>
    </row>
    <row r="54" ht="14.5" hidden="1" spans="1:22">
      <c r="A54" t="s">
        <v>1260</v>
      </c>
      <c r="B54">
        <v>154</v>
      </c>
      <c r="C54" s="3">
        <v>4.47714285714286</v>
      </c>
      <c r="D54" s="3">
        <v>6.50566859050811</v>
      </c>
      <c r="E54" s="3">
        <v>3.44962909641512</v>
      </c>
      <c r="F54" s="3">
        <v>5.50465661787059</v>
      </c>
      <c r="G54" s="3">
        <v>2.13</v>
      </c>
      <c r="H54" s="3">
        <v>1.1425</v>
      </c>
      <c r="I54" s="3">
        <v>5.015</v>
      </c>
      <c r="J54" s="3">
        <v>0</v>
      </c>
      <c r="K54" s="3">
        <v>22.05525</v>
      </c>
      <c r="L54" s="5">
        <v>152</v>
      </c>
      <c r="M54" s="5">
        <v>3.45381578947368</v>
      </c>
      <c r="N54" s="5">
        <v>3.67148506218781</v>
      </c>
      <c r="O54" s="5">
        <v>2.87013413551418</v>
      </c>
      <c r="P54" s="5">
        <v>4.03749744343319</v>
      </c>
      <c r="Q54" s="5">
        <v>2.56</v>
      </c>
      <c r="R54" s="5">
        <v>0.92</v>
      </c>
      <c r="S54" s="5">
        <v>4.5725</v>
      </c>
      <c r="T54" s="5">
        <v>0</v>
      </c>
      <c r="U54" s="5">
        <v>11.942</v>
      </c>
      <c r="V54" s="6">
        <v>0.75882538794908</v>
      </c>
    </row>
    <row r="55" ht="14.5" hidden="1" spans="1:22">
      <c r="A55" t="s">
        <v>1261</v>
      </c>
      <c r="B55">
        <v>154</v>
      </c>
      <c r="C55" s="3">
        <v>1.4774025974026</v>
      </c>
      <c r="D55" s="3">
        <v>2.94005420011282</v>
      </c>
      <c r="E55" s="3">
        <v>1.01304661217628</v>
      </c>
      <c r="F55" s="3">
        <v>1.94175858262891</v>
      </c>
      <c r="G55" s="3">
        <v>0.675</v>
      </c>
      <c r="H55" s="3">
        <v>0.285</v>
      </c>
      <c r="I55" s="3">
        <v>1.425</v>
      </c>
      <c r="J55" s="3">
        <v>0</v>
      </c>
      <c r="K55" s="3">
        <v>7.262</v>
      </c>
      <c r="L55" s="5">
        <v>152</v>
      </c>
      <c r="M55" s="5">
        <v>1.02111842105263</v>
      </c>
      <c r="N55" s="5">
        <v>1.14123759321262</v>
      </c>
      <c r="O55" s="5">
        <v>0.839687900518206</v>
      </c>
      <c r="P55" s="5">
        <v>1.20254894158706</v>
      </c>
      <c r="Q55" s="5">
        <v>0.65</v>
      </c>
      <c r="R55" s="5">
        <v>0.2275</v>
      </c>
      <c r="S55" s="5">
        <v>1.3725</v>
      </c>
      <c r="T55" s="5">
        <v>0</v>
      </c>
      <c r="U55" s="5">
        <v>3.74075</v>
      </c>
      <c r="V55" s="6">
        <v>0.50416251947071</v>
      </c>
    </row>
    <row r="56" ht="14.5" hidden="1" spans="1:22">
      <c r="A56" t="s">
        <v>1262</v>
      </c>
      <c r="B56">
        <v>154</v>
      </c>
      <c r="C56" s="3">
        <v>0.698311688311688</v>
      </c>
      <c r="D56" s="3">
        <v>1.33465415225706</v>
      </c>
      <c r="E56" s="3">
        <v>0.487514675187258</v>
      </c>
      <c r="F56" s="3">
        <v>0.909108701436118</v>
      </c>
      <c r="G56" s="3">
        <v>0.395</v>
      </c>
      <c r="H56" s="3">
        <v>0.1525</v>
      </c>
      <c r="I56" s="3">
        <v>0.83</v>
      </c>
      <c r="J56" s="3">
        <v>0</v>
      </c>
      <c r="K56" s="3">
        <v>2.702</v>
      </c>
      <c r="L56" s="5">
        <v>152</v>
      </c>
      <c r="M56" s="5">
        <v>0.547171052631579</v>
      </c>
      <c r="N56" s="5">
        <v>0.535443639496287</v>
      </c>
      <c r="O56" s="5">
        <v>0.462047833059754</v>
      </c>
      <c r="P56" s="5">
        <v>0.632294272203404</v>
      </c>
      <c r="Q56" s="5">
        <v>0.385</v>
      </c>
      <c r="R56" s="5">
        <v>0.17</v>
      </c>
      <c r="S56" s="5">
        <v>0.75</v>
      </c>
      <c r="T56" s="5">
        <v>0</v>
      </c>
      <c r="U56" s="5">
        <v>1.93175</v>
      </c>
      <c r="V56" s="6">
        <v>0.892026405142544</v>
      </c>
    </row>
    <row r="57" ht="14.5" hidden="1" spans="1:22">
      <c r="A57" t="s">
        <v>1263</v>
      </c>
      <c r="B57">
        <v>154</v>
      </c>
      <c r="C57" s="3">
        <v>0.0527272727272727</v>
      </c>
      <c r="D57" s="3">
        <v>0.232267236011753</v>
      </c>
      <c r="E57" s="3">
        <v>0.0160426833037539</v>
      </c>
      <c r="F57" s="3">
        <v>0.0894118621507916</v>
      </c>
      <c r="G57" s="3">
        <v>0.02</v>
      </c>
      <c r="H57" s="3">
        <v>0</v>
      </c>
      <c r="I57" s="3">
        <v>0.05</v>
      </c>
      <c r="J57" s="3">
        <v>0</v>
      </c>
      <c r="K57" s="3">
        <v>0.155249999999999</v>
      </c>
      <c r="L57" s="5">
        <v>152</v>
      </c>
      <c r="M57" s="5">
        <v>0.0303947368421053</v>
      </c>
      <c r="N57" s="5">
        <v>0.0396488156366271</v>
      </c>
      <c r="O57" s="5">
        <v>0.0240914873677545</v>
      </c>
      <c r="P57" s="5">
        <v>0.036697986316456</v>
      </c>
      <c r="Q57" s="5">
        <v>0.02</v>
      </c>
      <c r="R57" s="5">
        <v>0</v>
      </c>
      <c r="S57" s="5">
        <v>0.04</v>
      </c>
      <c r="T57" s="5">
        <v>0</v>
      </c>
      <c r="U57" s="5">
        <v>0.12225</v>
      </c>
      <c r="V57" s="6">
        <v>0.754426165680023</v>
      </c>
    </row>
    <row r="58" ht="14.5" hidden="1" spans="1:22">
      <c r="A58" t="s">
        <v>1264</v>
      </c>
      <c r="B58">
        <v>137</v>
      </c>
      <c r="C58" s="3">
        <v>37.7708390466131</v>
      </c>
      <c r="D58" s="3">
        <v>57.3596815216857</v>
      </c>
      <c r="E58" s="3">
        <v>28.1657251487728</v>
      </c>
      <c r="F58" s="3">
        <v>47.3759529444535</v>
      </c>
      <c r="G58" s="3">
        <v>19.09712088</v>
      </c>
      <c r="H58" s="3">
        <v>12.12363367</v>
      </c>
      <c r="I58" s="3">
        <v>31.44006447</v>
      </c>
      <c r="J58" s="3">
        <v>3.7883297504</v>
      </c>
      <c r="K58" s="3">
        <v>210.86504354</v>
      </c>
      <c r="L58" s="5">
        <v>135</v>
      </c>
      <c r="M58" s="5">
        <v>40.3502431095111</v>
      </c>
      <c r="N58" s="5">
        <v>48.72856348172</v>
      </c>
      <c r="O58" s="5">
        <v>32.1302245960744</v>
      </c>
      <c r="P58" s="5">
        <v>48.5702616229478</v>
      </c>
      <c r="Q58" s="5">
        <v>22.75977722</v>
      </c>
      <c r="R58" s="5">
        <v>13.298770675</v>
      </c>
      <c r="S58" s="5">
        <v>40.69607549</v>
      </c>
      <c r="T58" s="5">
        <v>2.7147621691</v>
      </c>
      <c r="U58" s="5">
        <v>192.27967679</v>
      </c>
      <c r="V58" s="6">
        <v>0.108528108933707</v>
      </c>
    </row>
    <row r="59" ht="14.5" hidden="1" spans="1:22">
      <c r="A59" t="s">
        <v>1265</v>
      </c>
      <c r="B59">
        <v>137</v>
      </c>
      <c r="C59" s="3">
        <v>12.0912210477664</v>
      </c>
      <c r="D59" s="3">
        <v>19.7593885044556</v>
      </c>
      <c r="E59" s="3">
        <v>8.78243041117231</v>
      </c>
      <c r="F59" s="3">
        <v>15.4000116843605</v>
      </c>
      <c r="G59" s="3">
        <v>6.602095349</v>
      </c>
      <c r="H59" s="3">
        <v>2.049890236</v>
      </c>
      <c r="I59" s="3">
        <v>16.20058902</v>
      </c>
      <c r="J59" s="3">
        <v>0.2010564854</v>
      </c>
      <c r="K59" s="3">
        <v>46.5162621819999</v>
      </c>
      <c r="L59" s="5">
        <v>135</v>
      </c>
      <c r="M59" s="5">
        <v>12.2982266887481</v>
      </c>
      <c r="N59" s="5">
        <v>17.5157003580608</v>
      </c>
      <c r="O59" s="5">
        <v>9.34350422349259</v>
      </c>
      <c r="P59" s="5">
        <v>15.2529491540037</v>
      </c>
      <c r="Q59" s="5">
        <v>8.780366157</v>
      </c>
      <c r="R59" s="5">
        <v>1.8145395595</v>
      </c>
      <c r="S59" s="5">
        <v>17.36330487</v>
      </c>
      <c r="T59" s="5">
        <v>0.23782848135</v>
      </c>
      <c r="U59" s="5">
        <v>44.2561158485</v>
      </c>
      <c r="V59" s="6">
        <v>0.528348180314999</v>
      </c>
    </row>
    <row r="60" ht="14.5" hidden="1" spans="1:22">
      <c r="A60" t="s">
        <v>1266</v>
      </c>
      <c r="B60">
        <v>137</v>
      </c>
      <c r="C60" s="3">
        <v>7.08039115741606</v>
      </c>
      <c r="D60" s="3">
        <v>10.1881110405877</v>
      </c>
      <c r="E60" s="3">
        <v>5.37435018311788</v>
      </c>
      <c r="F60" s="3">
        <v>8.78643213171424</v>
      </c>
      <c r="G60" s="3">
        <v>4.837676215</v>
      </c>
      <c r="H60" s="3">
        <v>0.707023578</v>
      </c>
      <c r="I60" s="3">
        <v>10.22771845</v>
      </c>
      <c r="J60" s="3">
        <v>0.27667373</v>
      </c>
      <c r="K60" s="3">
        <v>30.361940114</v>
      </c>
      <c r="L60" s="5">
        <v>135</v>
      </c>
      <c r="M60" s="5">
        <v>6.77349219756296</v>
      </c>
      <c r="N60" s="5">
        <v>6.55843510264773</v>
      </c>
      <c r="O60" s="5">
        <v>5.66715016506776</v>
      </c>
      <c r="P60" s="5">
        <v>7.87983423005817</v>
      </c>
      <c r="Q60" s="5">
        <v>6.172041261</v>
      </c>
      <c r="R60" s="5">
        <v>1.0184386265</v>
      </c>
      <c r="S60" s="5">
        <v>9.8623454875</v>
      </c>
      <c r="T60" s="5">
        <v>0.25596869015</v>
      </c>
      <c r="U60" s="5">
        <v>26.4801736035</v>
      </c>
      <c r="V60" s="6">
        <v>0.412130090496612</v>
      </c>
    </row>
    <row r="61" ht="14.5" hidden="1" spans="1:22">
      <c r="A61" t="s">
        <v>1267</v>
      </c>
      <c r="B61">
        <v>137</v>
      </c>
      <c r="C61" s="3">
        <v>4.80208340881752</v>
      </c>
      <c r="D61" s="3">
        <v>10.6071138214522</v>
      </c>
      <c r="E61" s="3">
        <v>3.02587870056984</v>
      </c>
      <c r="F61" s="3">
        <v>6.57828811706519</v>
      </c>
      <c r="G61" s="3">
        <v>2.285988379</v>
      </c>
      <c r="H61" s="3">
        <v>0.362159033</v>
      </c>
      <c r="I61" s="3">
        <v>4.954806782</v>
      </c>
      <c r="J61" s="3">
        <v>0.056636575</v>
      </c>
      <c r="K61" s="3">
        <v>21.134879374</v>
      </c>
      <c r="L61" s="5">
        <v>135</v>
      </c>
      <c r="M61" s="5">
        <v>3.88908452507407</v>
      </c>
      <c r="N61" s="5">
        <v>4.73780705532809</v>
      </c>
      <c r="O61" s="5">
        <v>3.08986413101305</v>
      </c>
      <c r="P61" s="5">
        <v>4.6883049191351</v>
      </c>
      <c r="Q61" s="5">
        <v>2.875103125</v>
      </c>
      <c r="R61" s="5">
        <v>0.704241373</v>
      </c>
      <c r="S61" s="5">
        <v>5.6463549145</v>
      </c>
      <c r="T61" s="5">
        <v>0.07374136275</v>
      </c>
      <c r="U61" s="5">
        <v>14.6071404365</v>
      </c>
      <c r="V61" s="6">
        <v>0.352574536933653</v>
      </c>
    </row>
    <row r="62" ht="14.5" hidden="1" spans="1:22">
      <c r="A62" t="s">
        <v>1268</v>
      </c>
      <c r="B62">
        <v>137</v>
      </c>
      <c r="C62" s="3">
        <v>3.18629450593431</v>
      </c>
      <c r="D62" s="3">
        <v>5.3833025521456</v>
      </c>
      <c r="E62" s="3">
        <v>2.28483841712488</v>
      </c>
      <c r="F62" s="3">
        <v>4.08775059474373</v>
      </c>
      <c r="G62" s="3">
        <v>1.192110397</v>
      </c>
      <c r="H62" s="3">
        <v>0.14526104</v>
      </c>
      <c r="I62" s="3">
        <v>4.653532743</v>
      </c>
      <c r="J62" s="3">
        <v>0</v>
      </c>
      <c r="K62" s="3">
        <v>15.424661852</v>
      </c>
      <c r="L62" s="5">
        <v>135</v>
      </c>
      <c r="M62" s="5">
        <v>3.07377747631852</v>
      </c>
      <c r="N62" s="5">
        <v>4.21356407208792</v>
      </c>
      <c r="O62" s="5">
        <v>2.36299160032799</v>
      </c>
      <c r="P62" s="5">
        <v>3.78456335230905</v>
      </c>
      <c r="Q62" s="5">
        <v>1.529561519</v>
      </c>
      <c r="R62" s="5">
        <v>0.173114732</v>
      </c>
      <c r="S62" s="5">
        <v>4.7533529835</v>
      </c>
      <c r="T62" s="5">
        <v>0</v>
      </c>
      <c r="U62" s="5">
        <v>11.3993165545</v>
      </c>
      <c r="V62" s="6">
        <v>0.593732247104567</v>
      </c>
    </row>
    <row r="63" ht="14.5" hidden="1" spans="1:22">
      <c r="A63" t="s">
        <v>1269</v>
      </c>
      <c r="B63">
        <v>156</v>
      </c>
      <c r="C63" s="3">
        <v>0.780182914358974</v>
      </c>
      <c r="D63" s="3">
        <v>0.483663567330688</v>
      </c>
      <c r="E63" s="3">
        <v>0.704283723341518</v>
      </c>
      <c r="F63" s="3">
        <v>0.856082105376431</v>
      </c>
      <c r="G63" s="3">
        <v>0.69310387</v>
      </c>
      <c r="H63" s="3">
        <v>0.43075211825</v>
      </c>
      <c r="I63" s="3">
        <v>1.0685459265</v>
      </c>
      <c r="J63" s="3">
        <v>0.061873610125</v>
      </c>
      <c r="K63" s="3">
        <v>1.85654636475</v>
      </c>
      <c r="L63" s="5">
        <v>155</v>
      </c>
      <c r="M63" s="5">
        <v>-0.696590033470968</v>
      </c>
      <c r="N63" s="5">
        <v>0.497656254296754</v>
      </c>
      <c r="O63" s="5">
        <v>-0.77493654950064</v>
      </c>
      <c r="P63" s="5">
        <v>-0.618243517441295</v>
      </c>
      <c r="Q63" s="5">
        <v>-0.600659389</v>
      </c>
      <c r="R63" s="5">
        <v>-0.987358869</v>
      </c>
      <c r="S63" s="5">
        <v>-0.3316924725</v>
      </c>
      <c r="T63" s="5">
        <v>-1.96828235125</v>
      </c>
      <c r="U63" s="5">
        <v>-0.0423834774</v>
      </c>
      <c r="V63" s="6">
        <v>1.7153013610194e-52</v>
      </c>
    </row>
    <row r="64" ht="14.5" hidden="1" spans="1:22">
      <c r="A64" s="2" t="s">
        <v>251</v>
      </c>
      <c r="B64">
        <v>156</v>
      </c>
      <c r="C64" s="3">
        <v>0.41027834975</v>
      </c>
      <c r="D64" s="3">
        <v>0.258854935140903</v>
      </c>
      <c r="E64" s="3">
        <v>0.369657386139901</v>
      </c>
      <c r="F64" s="3">
        <v>0.450899313360099</v>
      </c>
      <c r="G64" s="3">
        <v>0.3655830915</v>
      </c>
      <c r="H64" s="3">
        <v>0.23701453775</v>
      </c>
      <c r="I64" s="3">
        <v>0.550333723</v>
      </c>
      <c r="J64" s="3">
        <v>0.03196299975</v>
      </c>
      <c r="K64" s="3">
        <v>1.043111763375</v>
      </c>
      <c r="L64" s="5">
        <v>155</v>
      </c>
      <c r="M64" s="5">
        <v>-0.353497552406452</v>
      </c>
      <c r="N64" s="5">
        <v>0.260623381853666</v>
      </c>
      <c r="O64" s="5">
        <v>-0.394527749028737</v>
      </c>
      <c r="P64" s="5">
        <v>-0.312467355784167</v>
      </c>
      <c r="Q64" s="5">
        <v>-0.303651225</v>
      </c>
      <c r="R64" s="5">
        <v>-0.5059085065</v>
      </c>
      <c r="S64" s="5">
        <v>-0.161340006</v>
      </c>
      <c r="T64" s="5">
        <v>-0.9455603989</v>
      </c>
      <c r="U64" s="5">
        <v>-0.02222963815</v>
      </c>
      <c r="V64" s="6">
        <v>1.7153013610194e-52</v>
      </c>
    </row>
    <row r="65" ht="14.5" hidden="1" spans="1:22">
      <c r="A65" s="2" t="s">
        <v>14</v>
      </c>
      <c r="B65">
        <v>156</v>
      </c>
      <c r="C65" s="3">
        <v>34.8674358974359</v>
      </c>
      <c r="D65" s="3">
        <v>7.25344330884126</v>
      </c>
      <c r="E65" s="3">
        <v>33.7291850213768</v>
      </c>
      <c r="F65" s="3">
        <v>36.005686773495</v>
      </c>
      <c r="G65" s="3">
        <v>35.145</v>
      </c>
      <c r="H65" s="3">
        <v>29.045</v>
      </c>
      <c r="I65" s="3">
        <v>40.3825</v>
      </c>
      <c r="J65" s="3">
        <v>21.16625</v>
      </c>
      <c r="K65" s="3">
        <v>47.94</v>
      </c>
      <c r="L65" s="5">
        <v>155</v>
      </c>
      <c r="M65" s="5">
        <v>32.7176774193548</v>
      </c>
      <c r="N65" s="5">
        <v>7.08202781321947</v>
      </c>
      <c r="O65" s="5">
        <v>31.6027467803839</v>
      </c>
      <c r="P65" s="5">
        <v>33.8326080583258</v>
      </c>
      <c r="Q65" s="5">
        <v>32.79</v>
      </c>
      <c r="R65" s="5">
        <v>27.615</v>
      </c>
      <c r="S65" s="5">
        <v>37.995</v>
      </c>
      <c r="T65" s="5">
        <v>18.391</v>
      </c>
      <c r="U65" s="5">
        <v>45.0605</v>
      </c>
      <c r="V65" s="6">
        <v>0.0165050176059273</v>
      </c>
    </row>
    <row r="66" ht="14.5" hidden="1" spans="1:22">
      <c r="A66" s="7" t="s">
        <v>593</v>
      </c>
      <c r="B66">
        <v>151</v>
      </c>
      <c r="C66" s="3">
        <v>0.12727417218543</v>
      </c>
      <c r="D66" s="3">
        <v>0.139319316422658</v>
      </c>
      <c r="E66" s="3">
        <v>0.105052387634856</v>
      </c>
      <c r="F66" s="3">
        <v>0.149495956736005</v>
      </c>
      <c r="G66" s="3">
        <v>0.0947</v>
      </c>
      <c r="H66" s="3">
        <v>0.03115</v>
      </c>
      <c r="I66" s="3">
        <v>0.16765</v>
      </c>
      <c r="J66" s="3">
        <v>0.0001</v>
      </c>
      <c r="K66" s="3">
        <v>0.508875</v>
      </c>
      <c r="L66" s="5">
        <v>147</v>
      </c>
      <c r="M66" s="5">
        <v>0.128663945578231</v>
      </c>
      <c r="N66" s="5">
        <v>0.164266029615668</v>
      </c>
      <c r="O66" s="5">
        <v>0.102109015381382</v>
      </c>
      <c r="P66" s="5">
        <v>0.15521887577508</v>
      </c>
      <c r="Q66" s="5">
        <v>0.0844</v>
      </c>
      <c r="R66" s="5">
        <v>0.02635</v>
      </c>
      <c r="S66" s="5">
        <v>0.14675</v>
      </c>
      <c r="T66" s="5">
        <v>0.000265</v>
      </c>
      <c r="U66" s="5">
        <v>0.665235</v>
      </c>
      <c r="V66" s="6">
        <v>0.643197863836254</v>
      </c>
    </row>
    <row r="67" ht="14.5" hidden="1" spans="1:22">
      <c r="A67" s="7" t="s">
        <v>600</v>
      </c>
      <c r="B67">
        <v>151</v>
      </c>
      <c r="C67" s="3">
        <v>0.262616556291391</v>
      </c>
      <c r="D67" s="3">
        <v>0.169219693664957</v>
      </c>
      <c r="E67" s="3">
        <v>0.23562558568593</v>
      </c>
      <c r="F67" s="3">
        <v>0.289607526896852</v>
      </c>
      <c r="G67" s="3">
        <v>0.2267</v>
      </c>
      <c r="H67" s="3">
        <v>0.13095</v>
      </c>
      <c r="I67" s="3">
        <v>0.3805</v>
      </c>
      <c r="J67" s="3">
        <v>0.0361</v>
      </c>
      <c r="K67" s="3">
        <v>0.626625</v>
      </c>
      <c r="L67" s="5">
        <v>147</v>
      </c>
      <c r="M67" s="5">
        <v>0.258462585034014</v>
      </c>
      <c r="N67" s="5">
        <v>0.179967934819331</v>
      </c>
      <c r="O67" s="5">
        <v>0.22936931506225</v>
      </c>
      <c r="P67" s="5">
        <v>0.287555855005777</v>
      </c>
      <c r="Q67" s="5">
        <v>0.2135</v>
      </c>
      <c r="R67" s="5">
        <v>0.1231</v>
      </c>
      <c r="S67" s="5">
        <v>0.36975</v>
      </c>
      <c r="T67" s="5">
        <v>0.027775</v>
      </c>
      <c r="U67" s="5">
        <v>0.646855</v>
      </c>
      <c r="V67" s="6">
        <v>0.653350687593786</v>
      </c>
    </row>
    <row r="68" ht="14.5" hidden="1" spans="1:22">
      <c r="A68" s="8" t="s">
        <v>607</v>
      </c>
      <c r="B68">
        <v>151</v>
      </c>
      <c r="C68" s="3">
        <v>0.136353642384106</v>
      </c>
      <c r="D68" s="3">
        <v>0.179632699241103</v>
      </c>
      <c r="E68" s="3">
        <v>0.107701770961883</v>
      </c>
      <c r="F68" s="3">
        <v>0.165005513806329</v>
      </c>
      <c r="G68" s="3">
        <v>0.0628</v>
      </c>
      <c r="H68" s="3">
        <v>0.01985</v>
      </c>
      <c r="I68" s="3">
        <v>0.17255</v>
      </c>
      <c r="J68" s="3">
        <v>0.0031</v>
      </c>
      <c r="K68" s="3">
        <v>0.570175</v>
      </c>
      <c r="L68" s="5">
        <v>147</v>
      </c>
      <c r="M68" s="5">
        <v>0.141562585034014</v>
      </c>
      <c r="N68" s="5">
        <v>0.190178221104082</v>
      </c>
      <c r="O68" s="5">
        <v>0.110818739832449</v>
      </c>
      <c r="P68" s="5">
        <v>0.172306430235578</v>
      </c>
      <c r="Q68" s="5">
        <v>0.0641</v>
      </c>
      <c r="R68" s="5">
        <v>0.02305</v>
      </c>
      <c r="S68" s="5">
        <v>0.18005</v>
      </c>
      <c r="T68" s="5">
        <v>0.002255</v>
      </c>
      <c r="U68" s="5">
        <v>0.723385</v>
      </c>
      <c r="V68" s="6">
        <v>0.690618189779798</v>
      </c>
    </row>
    <row r="69" ht="14.5" hidden="1" spans="1:22">
      <c r="A69" s="8" t="s">
        <v>615</v>
      </c>
      <c r="B69">
        <v>151</v>
      </c>
      <c r="C69" s="3">
        <v>0.169683443708609</v>
      </c>
      <c r="D69" s="3">
        <v>0.195589250362578</v>
      </c>
      <c r="E69" s="3">
        <v>0.138486461886075</v>
      </c>
      <c r="F69" s="3">
        <v>0.200880425531144</v>
      </c>
      <c r="G69" s="3">
        <v>0.092</v>
      </c>
      <c r="H69" s="3">
        <v>0.03425</v>
      </c>
      <c r="I69" s="3">
        <v>0.22325</v>
      </c>
      <c r="J69" s="3">
        <v>0.00475</v>
      </c>
      <c r="K69" s="3">
        <v>0.693</v>
      </c>
      <c r="L69" s="5">
        <v>147</v>
      </c>
      <c r="M69" s="5">
        <v>0.15289387755102</v>
      </c>
      <c r="N69" s="5">
        <v>0.162637045361451</v>
      </c>
      <c r="O69" s="5">
        <v>0.126602285813521</v>
      </c>
      <c r="P69" s="5">
        <v>0.179185469288519</v>
      </c>
      <c r="Q69" s="5">
        <v>0.0957</v>
      </c>
      <c r="R69" s="5">
        <v>0.0381</v>
      </c>
      <c r="S69" s="5">
        <v>0.21385</v>
      </c>
      <c r="T69" s="5">
        <v>0.00737</v>
      </c>
      <c r="U69" s="5">
        <v>0.556435</v>
      </c>
      <c r="V69" s="6">
        <v>0.980153883869394</v>
      </c>
    </row>
    <row r="70" ht="15.25" hidden="1" spans="1:22">
      <c r="A70" s="9" t="s">
        <v>622</v>
      </c>
      <c r="B70">
        <v>151</v>
      </c>
      <c r="C70" s="3">
        <v>0.11282582781457</v>
      </c>
      <c r="D70" s="3">
        <v>0.106782186069635</v>
      </c>
      <c r="E70" s="3">
        <v>0.0957937981319081</v>
      </c>
      <c r="F70" s="3">
        <v>0.129857857497231</v>
      </c>
      <c r="G70" s="3">
        <v>0.0852</v>
      </c>
      <c r="H70" s="3">
        <v>0.024</v>
      </c>
      <c r="I70" s="3">
        <v>0.1589</v>
      </c>
      <c r="J70" s="3">
        <v>0.001325</v>
      </c>
      <c r="K70" s="3">
        <v>0.3923</v>
      </c>
      <c r="L70" s="5">
        <v>147</v>
      </c>
      <c r="M70" s="5">
        <v>0.116223129251701</v>
      </c>
      <c r="N70" s="5">
        <v>0.0992966601736814</v>
      </c>
      <c r="O70" s="5">
        <v>0.100171022277047</v>
      </c>
      <c r="P70" s="5">
        <v>0.132275236226354</v>
      </c>
      <c r="Q70" s="5">
        <v>0.0928</v>
      </c>
      <c r="R70" s="5">
        <v>0.03275</v>
      </c>
      <c r="S70" s="5">
        <v>0.183</v>
      </c>
      <c r="T70" s="5">
        <v>0.0019</v>
      </c>
      <c r="U70" s="5">
        <v>0.352625</v>
      </c>
      <c r="V70" s="6">
        <v>0.484416040637814</v>
      </c>
    </row>
    <row r="71" ht="14.5" hidden="1" spans="1:22">
      <c r="A71" s="2" t="s">
        <v>236</v>
      </c>
      <c r="B71" s="1">
        <v>156</v>
      </c>
      <c r="C71" s="1">
        <v>1038.90467948718</v>
      </c>
      <c r="D71" s="1">
        <v>868.739949016572</v>
      </c>
      <c r="E71" s="1">
        <v>902.577149797885</v>
      </c>
      <c r="F71" s="1">
        <v>1175.23220917647</v>
      </c>
      <c r="G71" s="1">
        <v>802.205</v>
      </c>
      <c r="H71" s="1">
        <v>523.3525</v>
      </c>
      <c r="I71" s="1">
        <v>1169.6575</v>
      </c>
      <c r="J71" s="1">
        <v>186.59875</v>
      </c>
      <c r="K71" s="1">
        <v>3386.75</v>
      </c>
      <c r="L71" s="1">
        <v>155</v>
      </c>
      <c r="M71" s="1">
        <v>1365.7064516129</v>
      </c>
      <c r="N71" s="1">
        <v>846.619005416328</v>
      </c>
      <c r="O71" s="1">
        <v>1232.42238473705</v>
      </c>
      <c r="P71" s="1">
        <v>1498.99051848876</v>
      </c>
      <c r="Q71" s="1">
        <v>1230.02</v>
      </c>
      <c r="R71" s="1">
        <v>763.425</v>
      </c>
      <c r="S71" s="1">
        <v>1645.285</v>
      </c>
      <c r="T71" s="1">
        <v>377.7265</v>
      </c>
      <c r="U71" s="1">
        <v>3152.639</v>
      </c>
      <c r="V71" s="23">
        <v>8.46324974320198e-7</v>
      </c>
    </row>
    <row r="72" ht="14.5" hidden="1" spans="1:22">
      <c r="A72" t="s">
        <v>1270</v>
      </c>
      <c r="B72">
        <v>156</v>
      </c>
      <c r="C72" s="3">
        <v>722.392884615385</v>
      </c>
      <c r="D72" s="3">
        <v>878.444017318459</v>
      </c>
      <c r="E72" s="3">
        <v>584.542538275342</v>
      </c>
      <c r="F72" s="3">
        <v>860.243230955427</v>
      </c>
      <c r="G72" s="3">
        <v>483.33</v>
      </c>
      <c r="H72" s="3">
        <v>208.9175</v>
      </c>
      <c r="I72" s="3">
        <v>943.045</v>
      </c>
      <c r="J72" s="3">
        <v>50.4325</v>
      </c>
      <c r="K72" s="3">
        <v>2668.8175</v>
      </c>
      <c r="L72" s="5">
        <v>155</v>
      </c>
      <c r="M72" s="5">
        <v>749.284580645161</v>
      </c>
      <c r="N72" s="5">
        <v>795.970328100171</v>
      </c>
      <c r="O72" s="5">
        <v>623.974185103629</v>
      </c>
      <c r="P72" s="5">
        <v>874.594976186694</v>
      </c>
      <c r="Q72" s="5">
        <v>539.57</v>
      </c>
      <c r="R72" s="5">
        <v>312.245</v>
      </c>
      <c r="S72" s="5">
        <v>973.02</v>
      </c>
      <c r="T72" s="5">
        <v>51.868</v>
      </c>
      <c r="U72" s="5">
        <v>2411.3405</v>
      </c>
      <c r="V72" s="6">
        <v>0.213434231402112</v>
      </c>
    </row>
    <row r="73" ht="14.5" hidden="1" spans="1:22">
      <c r="A73" t="s">
        <v>1271</v>
      </c>
      <c r="B73">
        <v>156</v>
      </c>
      <c r="C73" s="3">
        <v>544.112307692308</v>
      </c>
      <c r="D73" s="3">
        <v>659.878609669351</v>
      </c>
      <c r="E73" s="3">
        <v>440.560467060523</v>
      </c>
      <c r="F73" s="3">
        <v>647.664148324092</v>
      </c>
      <c r="G73" s="3">
        <v>362.42</v>
      </c>
      <c r="H73" s="3">
        <v>141.25</v>
      </c>
      <c r="I73" s="3">
        <v>703.32</v>
      </c>
      <c r="J73" s="3">
        <v>10.22625</v>
      </c>
      <c r="K73" s="3">
        <v>2308.78</v>
      </c>
      <c r="L73" s="5">
        <v>155</v>
      </c>
      <c r="M73" s="5">
        <v>556.171096774194</v>
      </c>
      <c r="N73" s="5">
        <v>580.896376326543</v>
      </c>
      <c r="O73" s="5">
        <v>464.720006053433</v>
      </c>
      <c r="P73" s="5">
        <v>647.622187494954</v>
      </c>
      <c r="Q73" s="5">
        <v>399.08</v>
      </c>
      <c r="R73" s="5">
        <v>206.925</v>
      </c>
      <c r="S73" s="5">
        <v>748.355</v>
      </c>
      <c r="T73" s="5">
        <v>30.2575</v>
      </c>
      <c r="U73" s="5">
        <v>1815.9185</v>
      </c>
      <c r="V73" s="6">
        <v>0.264351316999169</v>
      </c>
    </row>
    <row r="74" ht="14.5" hidden="1" spans="1:22">
      <c r="A74" t="s">
        <v>1272</v>
      </c>
      <c r="B74">
        <v>156</v>
      </c>
      <c r="C74" s="3">
        <v>178.280320512821</v>
      </c>
      <c r="D74" s="3">
        <v>256.50639505936</v>
      </c>
      <c r="E74" s="3">
        <v>138.027902942368</v>
      </c>
      <c r="F74" s="3">
        <v>218.532738083273</v>
      </c>
      <c r="G74" s="3">
        <v>96.745</v>
      </c>
      <c r="H74" s="3">
        <v>42.1375</v>
      </c>
      <c r="I74" s="3">
        <v>238.05</v>
      </c>
      <c r="J74" s="3">
        <v>7.795</v>
      </c>
      <c r="K74" s="3">
        <v>673.26</v>
      </c>
      <c r="L74" s="5">
        <v>155</v>
      </c>
      <c r="M74" s="5">
        <v>193.113935483871</v>
      </c>
      <c r="N74" s="5">
        <v>252.958560503127</v>
      </c>
      <c r="O74" s="5">
        <v>153.290419263208</v>
      </c>
      <c r="P74" s="5">
        <v>232.937451704534</v>
      </c>
      <c r="Q74" s="5">
        <v>112.68</v>
      </c>
      <c r="R74" s="5">
        <v>53.855</v>
      </c>
      <c r="S74" s="5">
        <v>225.075</v>
      </c>
      <c r="T74" s="5">
        <v>9.98</v>
      </c>
      <c r="U74" s="5">
        <v>698.1315</v>
      </c>
      <c r="V74" s="6">
        <v>0.300165283640155</v>
      </c>
    </row>
    <row r="75" ht="14.5" hidden="1" spans="1:22">
      <c r="A75" t="s">
        <v>1273</v>
      </c>
      <c r="B75">
        <v>156</v>
      </c>
      <c r="C75" s="3">
        <v>242.866666666667</v>
      </c>
      <c r="D75" s="3">
        <v>362.60632623226</v>
      </c>
      <c r="E75" s="3">
        <v>185.964454720602</v>
      </c>
      <c r="F75" s="3">
        <v>299.768878612731</v>
      </c>
      <c r="G75" s="3">
        <v>133.31</v>
      </c>
      <c r="H75" s="3">
        <v>24.37</v>
      </c>
      <c r="I75" s="3">
        <v>329.7725</v>
      </c>
      <c r="J75" s="3">
        <v>3.14875</v>
      </c>
      <c r="K75" s="3">
        <v>1056.885</v>
      </c>
      <c r="L75" s="5">
        <v>155</v>
      </c>
      <c r="M75" s="5">
        <v>252.677032258065</v>
      </c>
      <c r="N75" s="5">
        <v>265.433803908562</v>
      </c>
      <c r="O75" s="5">
        <v>210.889526136744</v>
      </c>
      <c r="P75" s="5">
        <v>294.464538379385</v>
      </c>
      <c r="Q75" s="5">
        <v>176.82</v>
      </c>
      <c r="R75" s="5">
        <v>79.71</v>
      </c>
      <c r="S75" s="5">
        <v>328.49</v>
      </c>
      <c r="T75" s="5">
        <v>7.4865</v>
      </c>
      <c r="U75" s="5">
        <v>1004.68</v>
      </c>
      <c r="V75" s="6">
        <v>0.0167338433401442</v>
      </c>
    </row>
    <row r="76" ht="14.5" hidden="1" spans="1:22">
      <c r="A76" t="s">
        <v>1274</v>
      </c>
      <c r="B76">
        <v>156</v>
      </c>
      <c r="C76" s="3">
        <v>465.332051282051</v>
      </c>
      <c r="D76" s="3">
        <v>794.673087357285</v>
      </c>
      <c r="E76" s="3">
        <v>340.627507612083</v>
      </c>
      <c r="F76" s="3">
        <v>590.03659495202</v>
      </c>
      <c r="G76" s="3">
        <v>203.53</v>
      </c>
      <c r="H76" s="3">
        <v>58.6375</v>
      </c>
      <c r="I76" s="3">
        <v>624.3575</v>
      </c>
      <c r="J76" s="3">
        <v>11.71</v>
      </c>
      <c r="K76" s="3">
        <v>2008.10625</v>
      </c>
      <c r="L76" s="5">
        <v>155</v>
      </c>
      <c r="M76" s="5">
        <v>469.820451612903</v>
      </c>
      <c r="N76" s="5">
        <v>756.617064775528</v>
      </c>
      <c r="O76" s="5">
        <v>350.705479215888</v>
      </c>
      <c r="P76" s="5">
        <v>588.935424009918</v>
      </c>
      <c r="Q76" s="5">
        <v>207.51</v>
      </c>
      <c r="R76" s="5">
        <v>84.335</v>
      </c>
      <c r="S76" s="5">
        <v>551.975</v>
      </c>
      <c r="T76" s="5">
        <v>20.4905</v>
      </c>
      <c r="U76" s="5">
        <v>2153.097</v>
      </c>
      <c r="V76" s="6">
        <v>0.410903361437558</v>
      </c>
    </row>
    <row r="77" ht="14.5" hidden="1" spans="1:22">
      <c r="A77" t="s">
        <v>1275</v>
      </c>
      <c r="B77">
        <v>156</v>
      </c>
      <c r="C77" s="3">
        <v>5.85717948717949</v>
      </c>
      <c r="D77" s="3">
        <v>7.81811129694682</v>
      </c>
      <c r="E77" s="3">
        <v>4.63031775352115</v>
      </c>
      <c r="F77" s="3">
        <v>7.08404122083782</v>
      </c>
      <c r="G77" s="3">
        <v>3.055</v>
      </c>
      <c r="H77" s="3">
        <v>0.9575</v>
      </c>
      <c r="I77" s="3">
        <v>7.5975</v>
      </c>
      <c r="J77" s="3">
        <v>0</v>
      </c>
      <c r="K77" s="3">
        <v>22.4</v>
      </c>
      <c r="L77" s="5">
        <v>155</v>
      </c>
      <c r="M77" s="5">
        <v>7.21696774193548</v>
      </c>
      <c r="N77" s="5">
        <v>9.77754287343246</v>
      </c>
      <c r="O77" s="5">
        <v>5.67767950261317</v>
      </c>
      <c r="P77" s="5">
        <v>8.75625598125779</v>
      </c>
      <c r="Q77" s="5">
        <v>3.88</v>
      </c>
      <c r="R77" s="5">
        <v>0.895</v>
      </c>
      <c r="S77" s="5">
        <v>9.705</v>
      </c>
      <c r="T77" s="5">
        <v>0</v>
      </c>
      <c r="U77" s="5">
        <v>34.1625</v>
      </c>
      <c r="V77" s="6">
        <v>0.381572439862545</v>
      </c>
    </row>
    <row r="78" ht="14.5" hidden="1" spans="1:22">
      <c r="A78" t="s">
        <v>1276</v>
      </c>
      <c r="B78">
        <v>156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5">
        <v>155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6" t="s">
        <v>1277</v>
      </c>
    </row>
    <row r="79" ht="14.5" hidden="1" spans="1:22">
      <c r="A79" t="s">
        <v>1278</v>
      </c>
      <c r="B79">
        <v>156</v>
      </c>
      <c r="C79" s="3">
        <v>5.85717948717949</v>
      </c>
      <c r="D79" s="3">
        <v>7.81811129694682</v>
      </c>
      <c r="E79" s="3">
        <v>4.63031775352115</v>
      </c>
      <c r="F79" s="3">
        <v>7.08404122083782</v>
      </c>
      <c r="G79" s="3">
        <v>3.055</v>
      </c>
      <c r="H79" s="3">
        <v>0.9575</v>
      </c>
      <c r="I79" s="3">
        <v>7.5975</v>
      </c>
      <c r="J79" s="3">
        <v>0</v>
      </c>
      <c r="K79" s="3">
        <v>22.4</v>
      </c>
      <c r="L79" s="5">
        <v>155</v>
      </c>
      <c r="M79" s="5">
        <v>7.21696774193548</v>
      </c>
      <c r="N79" s="5">
        <v>9.77754287343246</v>
      </c>
      <c r="O79" s="5">
        <v>5.67767950261317</v>
      </c>
      <c r="P79" s="5">
        <v>8.75625598125779</v>
      </c>
      <c r="Q79" s="5">
        <v>3.88</v>
      </c>
      <c r="R79" s="5">
        <v>0.895</v>
      </c>
      <c r="S79" s="5">
        <v>9.705</v>
      </c>
      <c r="T79" s="5">
        <v>0</v>
      </c>
      <c r="U79" s="5">
        <v>34.1625</v>
      </c>
      <c r="V79" s="6">
        <v>0.381572439862545</v>
      </c>
    </row>
    <row r="80" ht="14.5" hidden="1" spans="1:22">
      <c r="A80" t="s">
        <v>1279</v>
      </c>
      <c r="B80">
        <v>156</v>
      </c>
      <c r="C80" s="3">
        <v>0.079551282051282</v>
      </c>
      <c r="D80" s="3">
        <v>0.932590801908746</v>
      </c>
      <c r="E80" s="3">
        <v>-0.0667960804466661</v>
      </c>
      <c r="F80" s="3">
        <v>0.22589864454923</v>
      </c>
      <c r="G80" s="3">
        <v>0</v>
      </c>
      <c r="H80" s="3">
        <v>0</v>
      </c>
      <c r="I80" s="3">
        <v>0</v>
      </c>
      <c r="J80" s="3">
        <v>0</v>
      </c>
      <c r="K80" s="3">
        <v>0.08125</v>
      </c>
      <c r="L80" s="5">
        <v>155</v>
      </c>
      <c r="M80" s="5">
        <v>1.40806451612903</v>
      </c>
      <c r="N80" s="5">
        <v>17.463172942412</v>
      </c>
      <c r="O80" s="5">
        <v>-1.3411800619282</v>
      </c>
      <c r="P80" s="5">
        <v>4.15730909418627</v>
      </c>
      <c r="Q80" s="5">
        <v>0</v>
      </c>
      <c r="R80" s="5">
        <v>0</v>
      </c>
      <c r="S80" s="5">
        <v>0</v>
      </c>
      <c r="T80" s="5">
        <v>0</v>
      </c>
      <c r="U80" s="5">
        <v>0.0815000000000001</v>
      </c>
      <c r="V80" s="6">
        <v>0.161709933656925</v>
      </c>
    </row>
    <row r="81" ht="14.5" hidden="1" spans="1:22">
      <c r="A81" t="s">
        <v>1280</v>
      </c>
      <c r="B81">
        <v>156</v>
      </c>
      <c r="C81" s="3">
        <v>8.23923076923077</v>
      </c>
      <c r="D81" s="3">
        <v>12.5518585457634</v>
      </c>
      <c r="E81" s="3">
        <v>6.26952295219018</v>
      </c>
      <c r="F81" s="3">
        <v>10.2089385862714</v>
      </c>
      <c r="G81" s="3">
        <v>3.465</v>
      </c>
      <c r="H81" s="3">
        <v>1.1875</v>
      </c>
      <c r="I81" s="3">
        <v>9.2375</v>
      </c>
      <c r="J81" s="3">
        <v>0.03875</v>
      </c>
      <c r="K81" s="3">
        <v>41.56875</v>
      </c>
      <c r="L81" s="5">
        <v>155</v>
      </c>
      <c r="M81" s="5">
        <v>18.1391612903226</v>
      </c>
      <c r="N81" s="5">
        <v>21.2760708813714</v>
      </c>
      <c r="O81" s="5">
        <v>14.7896484208192</v>
      </c>
      <c r="P81" s="5">
        <v>21.4886741598259</v>
      </c>
      <c r="Q81" s="5">
        <v>10.04</v>
      </c>
      <c r="R81" s="5">
        <v>4.26</v>
      </c>
      <c r="S81" s="5">
        <v>22.64</v>
      </c>
      <c r="T81" s="5">
        <v>0.137</v>
      </c>
      <c r="U81" s="5">
        <v>64.6485</v>
      </c>
      <c r="V81" s="6">
        <v>1.01666786972929e-9</v>
      </c>
    </row>
    <row r="82" ht="14.5" hidden="1" spans="1:22">
      <c r="A82" t="s">
        <v>1281</v>
      </c>
      <c r="B82">
        <v>156</v>
      </c>
      <c r="C82" s="3">
        <v>8.31884615384615</v>
      </c>
      <c r="D82" s="3">
        <v>12.6218935219485</v>
      </c>
      <c r="E82" s="3">
        <v>6.33814805679604</v>
      </c>
      <c r="F82" s="3">
        <v>10.2995442508963</v>
      </c>
      <c r="G82" s="3">
        <v>3.465</v>
      </c>
      <c r="H82" s="3">
        <v>1.2025</v>
      </c>
      <c r="I82" s="3">
        <v>9.2375</v>
      </c>
      <c r="J82" s="3">
        <v>0.03875</v>
      </c>
      <c r="K82" s="3">
        <v>41.57125</v>
      </c>
      <c r="L82" s="5">
        <v>155</v>
      </c>
      <c r="M82" s="5">
        <v>19.5469677419355</v>
      </c>
      <c r="N82" s="5">
        <v>29.2997326430379</v>
      </c>
      <c r="O82" s="5">
        <v>14.934281870185</v>
      </c>
      <c r="P82" s="5">
        <v>24.1596536136859</v>
      </c>
      <c r="Q82" s="5">
        <v>10.04</v>
      </c>
      <c r="R82" s="5">
        <v>4.26</v>
      </c>
      <c r="S82" s="5">
        <v>22.65</v>
      </c>
      <c r="T82" s="5">
        <v>0.137</v>
      </c>
      <c r="U82" s="5">
        <v>68.1900000000001</v>
      </c>
      <c r="V82" s="6">
        <v>1.26753623553812e-9</v>
      </c>
    </row>
    <row r="83" ht="14.5" hidden="1" spans="1:22">
      <c r="A83" t="s">
        <v>1282</v>
      </c>
      <c r="B83">
        <v>156</v>
      </c>
      <c r="C83" s="3">
        <v>0.0191666666666667</v>
      </c>
      <c r="D83" s="3">
        <v>0.0755022608790589</v>
      </c>
      <c r="E83" s="3">
        <v>0.00731842977684639</v>
      </c>
      <c r="F83" s="3">
        <v>0.0310149035564869</v>
      </c>
      <c r="G83" s="3">
        <v>0</v>
      </c>
      <c r="H83" s="3">
        <v>0</v>
      </c>
      <c r="I83" s="3">
        <v>0</v>
      </c>
      <c r="J83" s="3">
        <v>0</v>
      </c>
      <c r="K83" s="3">
        <v>0.2625</v>
      </c>
      <c r="L83" s="5">
        <v>155</v>
      </c>
      <c r="M83" s="5">
        <v>0.0258064516129032</v>
      </c>
      <c r="N83" s="5">
        <v>0.137188234358556</v>
      </c>
      <c r="O83" s="5">
        <v>0.00420877227208279</v>
      </c>
      <c r="P83" s="5">
        <v>0.0474041309537237</v>
      </c>
      <c r="Q83" s="5">
        <v>0</v>
      </c>
      <c r="R83" s="5">
        <v>0</v>
      </c>
      <c r="S83" s="5">
        <v>0</v>
      </c>
      <c r="T83" s="5">
        <v>0</v>
      </c>
      <c r="U83" s="5">
        <v>0.2105</v>
      </c>
      <c r="V83" s="6">
        <v>0.104519748863152</v>
      </c>
    </row>
    <row r="84" ht="14.5" hidden="1" spans="1:22">
      <c r="A84" t="s">
        <v>1283</v>
      </c>
      <c r="B84">
        <v>156</v>
      </c>
      <c r="C84" s="3">
        <v>2.46442307692308</v>
      </c>
      <c r="D84" s="3">
        <v>4.37029935350039</v>
      </c>
      <c r="E84" s="3">
        <v>1.77861126921252</v>
      </c>
      <c r="F84" s="3">
        <v>3.15023488463363</v>
      </c>
      <c r="G84" s="3">
        <v>0.78</v>
      </c>
      <c r="H84" s="3">
        <v>0.2</v>
      </c>
      <c r="I84" s="3">
        <v>2.1225</v>
      </c>
      <c r="J84" s="3">
        <v>0</v>
      </c>
      <c r="K84" s="3">
        <v>14.48</v>
      </c>
      <c r="L84" s="5">
        <v>155</v>
      </c>
      <c r="M84" s="5">
        <v>3.466</v>
      </c>
      <c r="N84" s="5">
        <v>6.26834508701221</v>
      </c>
      <c r="O84" s="5">
        <v>2.47916823691263</v>
      </c>
      <c r="P84" s="5">
        <v>4.45283176308737</v>
      </c>
      <c r="Q84" s="5">
        <v>0.96</v>
      </c>
      <c r="R84" s="5">
        <v>0.22</v>
      </c>
      <c r="S84" s="5">
        <v>3.56</v>
      </c>
      <c r="T84" s="5">
        <v>0</v>
      </c>
      <c r="U84" s="5">
        <v>22.805</v>
      </c>
      <c r="V84" s="6">
        <v>0.272621754263915</v>
      </c>
    </row>
    <row r="85" ht="14.5" hidden="1" spans="1:22">
      <c r="A85" t="s">
        <v>1284</v>
      </c>
      <c r="B85">
        <v>156</v>
      </c>
      <c r="C85" s="3">
        <v>33.7945512820513</v>
      </c>
      <c r="D85" s="3">
        <v>81.9705248232397</v>
      </c>
      <c r="E85" s="3">
        <v>20.9312782517994</v>
      </c>
      <c r="F85" s="3">
        <v>46.6578243123031</v>
      </c>
      <c r="G85" s="3">
        <v>0</v>
      </c>
      <c r="H85" s="3">
        <v>0</v>
      </c>
      <c r="I85" s="3">
        <v>2.6025</v>
      </c>
      <c r="J85" s="3">
        <v>0</v>
      </c>
      <c r="K85" s="3">
        <v>248.68875</v>
      </c>
      <c r="L85" s="5">
        <v>155</v>
      </c>
      <c r="M85" s="5">
        <v>43.3681290322581</v>
      </c>
      <c r="N85" s="5">
        <v>78.0233152615218</v>
      </c>
      <c r="O85" s="5">
        <v>31.084841387329</v>
      </c>
      <c r="P85" s="5">
        <v>55.6514166771872</v>
      </c>
      <c r="Q85" s="5">
        <v>0</v>
      </c>
      <c r="R85" s="5">
        <v>0</v>
      </c>
      <c r="S85" s="5">
        <v>64.76</v>
      </c>
      <c r="T85" s="5">
        <v>0</v>
      </c>
      <c r="U85" s="5">
        <v>263.763</v>
      </c>
      <c r="V85" s="6">
        <v>0.0490632307157055</v>
      </c>
    </row>
    <row r="86" ht="14.5" hidden="1" spans="1:22">
      <c r="A86" t="s">
        <v>1285</v>
      </c>
      <c r="B86">
        <v>156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5">
        <v>155</v>
      </c>
      <c r="M86" s="5">
        <v>0.0368387096774194</v>
      </c>
      <c r="N86" s="5">
        <v>0.458638236803327</v>
      </c>
      <c r="O86" s="5">
        <v>-0.0353651612903226</v>
      </c>
      <c r="P86" s="5">
        <v>0.109042580645161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6">
        <v>0.318866589701224</v>
      </c>
    </row>
    <row r="87" ht="14.5" hidden="1" spans="1:22">
      <c r="A87" t="s">
        <v>1286</v>
      </c>
      <c r="B87">
        <v>156</v>
      </c>
      <c r="C87" s="3">
        <v>147.222628205128</v>
      </c>
      <c r="D87" s="3">
        <v>332.043617358521</v>
      </c>
      <c r="E87" s="3">
        <v>95.1164874033531</v>
      </c>
      <c r="F87" s="3">
        <v>199.328769006903</v>
      </c>
      <c r="G87" s="3">
        <v>21.94</v>
      </c>
      <c r="H87" s="3">
        <v>2.6475</v>
      </c>
      <c r="I87" s="3">
        <v>137.8625</v>
      </c>
      <c r="J87" s="3">
        <v>0</v>
      </c>
      <c r="K87" s="3">
        <v>1049.155</v>
      </c>
      <c r="L87" s="5">
        <v>155</v>
      </c>
      <c r="M87" s="5">
        <v>128.193806451613</v>
      </c>
      <c r="N87" s="5">
        <v>227.631004063026</v>
      </c>
      <c r="O87" s="5">
        <v>92.3576324767153</v>
      </c>
      <c r="P87" s="5">
        <v>164.02998042651</v>
      </c>
      <c r="Q87" s="5">
        <v>43.02</v>
      </c>
      <c r="R87" s="5">
        <v>8.07</v>
      </c>
      <c r="S87" s="5">
        <v>142.35</v>
      </c>
      <c r="T87" s="5">
        <v>0</v>
      </c>
      <c r="U87" s="5">
        <v>991.3595</v>
      </c>
      <c r="V87" s="6">
        <v>0.0713184676985016</v>
      </c>
    </row>
    <row r="88" ht="14.5" hidden="1" spans="1:22">
      <c r="A88" t="s">
        <v>1287</v>
      </c>
      <c r="B88">
        <v>156</v>
      </c>
      <c r="C88" s="3">
        <v>5.21173076923077</v>
      </c>
      <c r="D88" s="3">
        <v>21.4365504315519</v>
      </c>
      <c r="E88" s="3">
        <v>1.84778742956781</v>
      </c>
      <c r="F88" s="3">
        <v>8.57567410889373</v>
      </c>
      <c r="G88" s="3">
        <v>0.03</v>
      </c>
      <c r="H88" s="3">
        <v>0</v>
      </c>
      <c r="I88" s="3">
        <v>0.16</v>
      </c>
      <c r="J88" s="3">
        <v>0</v>
      </c>
      <c r="K88" s="3">
        <v>91.78</v>
      </c>
      <c r="L88" s="5">
        <v>155</v>
      </c>
      <c r="M88" s="5">
        <v>11.7316129032258</v>
      </c>
      <c r="N88" s="5">
        <v>38.2047546929421</v>
      </c>
      <c r="O88" s="5">
        <v>5.71700060785729</v>
      </c>
      <c r="P88" s="5">
        <v>17.7462251985943</v>
      </c>
      <c r="Q88" s="5">
        <v>0.1</v>
      </c>
      <c r="R88" s="5">
        <v>0</v>
      </c>
      <c r="S88" s="5">
        <v>0.425</v>
      </c>
      <c r="T88" s="5">
        <v>0</v>
      </c>
      <c r="U88" s="5">
        <v>134.461</v>
      </c>
      <c r="V88" s="6">
        <v>0.000372002440301851</v>
      </c>
    </row>
    <row r="89" ht="14.5" hidden="1" spans="1:22">
      <c r="A89" t="s">
        <v>1288</v>
      </c>
      <c r="B89">
        <v>156</v>
      </c>
      <c r="C89" s="3">
        <v>6.46314102564103</v>
      </c>
      <c r="D89" s="3">
        <v>18.0358465930594</v>
      </c>
      <c r="E89" s="3">
        <v>3.63285514472783</v>
      </c>
      <c r="F89" s="3">
        <v>9.29342690655422</v>
      </c>
      <c r="G89" s="3">
        <v>0.18</v>
      </c>
      <c r="H89" s="3">
        <v>0</v>
      </c>
      <c r="I89" s="3">
        <v>4.24</v>
      </c>
      <c r="J89" s="3">
        <v>0</v>
      </c>
      <c r="K89" s="3">
        <v>43.3575</v>
      </c>
      <c r="L89" s="5">
        <v>155</v>
      </c>
      <c r="M89" s="5">
        <v>10.5658709677419</v>
      </c>
      <c r="N89" s="5">
        <v>22.6666448054512</v>
      </c>
      <c r="O89" s="5">
        <v>6.99743867083719</v>
      </c>
      <c r="P89" s="5">
        <v>14.1343032646467</v>
      </c>
      <c r="Q89" s="5">
        <v>0.7</v>
      </c>
      <c r="R89" s="5">
        <v>0</v>
      </c>
      <c r="S89" s="5">
        <v>12.51</v>
      </c>
      <c r="T89" s="5">
        <v>0</v>
      </c>
      <c r="U89" s="5">
        <v>62.458</v>
      </c>
      <c r="V89" s="6">
        <v>0.00433376775703375</v>
      </c>
    </row>
    <row r="90" ht="14.5" hidden="1" spans="1:22">
      <c r="A90" t="s">
        <v>1289</v>
      </c>
      <c r="B90">
        <v>156</v>
      </c>
      <c r="C90" s="3">
        <v>11.6748076923077</v>
      </c>
      <c r="D90" s="3">
        <v>31.3346969486862</v>
      </c>
      <c r="E90" s="3">
        <v>6.75759186332137</v>
      </c>
      <c r="F90" s="3">
        <v>16.592023521294</v>
      </c>
      <c r="G90" s="3">
        <v>0.35</v>
      </c>
      <c r="H90" s="3">
        <v>0</v>
      </c>
      <c r="I90" s="3">
        <v>4.435</v>
      </c>
      <c r="J90" s="3">
        <v>0</v>
      </c>
      <c r="K90" s="3">
        <v>116.2675</v>
      </c>
      <c r="L90" s="5">
        <v>155</v>
      </c>
      <c r="M90" s="5">
        <v>22.2969677419355</v>
      </c>
      <c r="N90" s="5">
        <v>51.7388371343852</v>
      </c>
      <c r="O90" s="5">
        <v>14.1516714698453</v>
      </c>
      <c r="P90" s="5">
        <v>30.4422640140257</v>
      </c>
      <c r="Q90" s="5">
        <v>1.18</v>
      </c>
      <c r="R90" s="5">
        <v>0.25</v>
      </c>
      <c r="S90" s="5">
        <v>15.07</v>
      </c>
      <c r="T90" s="5">
        <v>0</v>
      </c>
      <c r="U90" s="5">
        <v>188.7555</v>
      </c>
      <c r="V90" s="6">
        <v>0.00103364073698678</v>
      </c>
    </row>
    <row r="91" ht="14.5" hidden="1" spans="1:22">
      <c r="A91" t="s">
        <v>1290</v>
      </c>
      <c r="B91">
        <v>156</v>
      </c>
      <c r="C91" s="3">
        <v>4.46474358974359</v>
      </c>
      <c r="D91" s="3">
        <v>6.66809112780174</v>
      </c>
      <c r="E91" s="3">
        <v>3.41834945047859</v>
      </c>
      <c r="F91" s="3">
        <v>5.51113772900858</v>
      </c>
      <c r="G91" s="3">
        <v>0.895</v>
      </c>
      <c r="H91" s="3">
        <v>0</v>
      </c>
      <c r="I91" s="3">
        <v>5.95</v>
      </c>
      <c r="J91" s="3">
        <v>0</v>
      </c>
      <c r="K91" s="3">
        <v>23.4925</v>
      </c>
      <c r="L91" s="5">
        <v>155</v>
      </c>
      <c r="M91" s="5">
        <v>5.65916129032258</v>
      </c>
      <c r="N91" s="5">
        <v>8.43673391556995</v>
      </c>
      <c r="O91" s="5">
        <v>4.33095793057914</v>
      </c>
      <c r="P91" s="5">
        <v>6.98736465006602</v>
      </c>
      <c r="Q91" s="5">
        <v>2.17</v>
      </c>
      <c r="R91" s="5">
        <v>0</v>
      </c>
      <c r="S91" s="5">
        <v>7.93</v>
      </c>
      <c r="T91" s="5">
        <v>0</v>
      </c>
      <c r="U91" s="5">
        <v>30.781</v>
      </c>
      <c r="V91" s="6">
        <v>0.147971657268322</v>
      </c>
    </row>
    <row r="92" ht="14.5" hidden="1" spans="1:22">
      <c r="A92" t="s">
        <v>1291</v>
      </c>
      <c r="B92">
        <v>156</v>
      </c>
      <c r="C92" s="3">
        <v>0.288012820512821</v>
      </c>
      <c r="D92" s="3">
        <v>0.638018525235946</v>
      </c>
      <c r="E92" s="3">
        <v>0.187891386544134</v>
      </c>
      <c r="F92" s="3">
        <v>0.388134254481507</v>
      </c>
      <c r="G92" s="3">
        <v>0.09</v>
      </c>
      <c r="H92" s="3">
        <v>0</v>
      </c>
      <c r="I92" s="3">
        <v>0.3025</v>
      </c>
      <c r="J92" s="3">
        <v>0</v>
      </c>
      <c r="K92" s="3">
        <v>1.5675</v>
      </c>
      <c r="L92" s="5">
        <v>155</v>
      </c>
      <c r="M92" s="5">
        <v>0.755806451612903</v>
      </c>
      <c r="N92" s="5">
        <v>2.2381175041306</v>
      </c>
      <c r="O92" s="5">
        <v>0.403457400637051</v>
      </c>
      <c r="P92" s="5">
        <v>1.10815550258876</v>
      </c>
      <c r="Q92" s="5">
        <v>0.21</v>
      </c>
      <c r="R92" s="5">
        <v>0.06</v>
      </c>
      <c r="S92" s="5">
        <v>0.655</v>
      </c>
      <c r="T92" s="5">
        <v>0</v>
      </c>
      <c r="U92" s="5">
        <v>4.78100000000001</v>
      </c>
      <c r="V92" s="6">
        <v>5.65421994232759e-6</v>
      </c>
    </row>
    <row r="93" ht="14.5" hidden="1" spans="1:22">
      <c r="A93" t="s">
        <v>1292</v>
      </c>
      <c r="B93">
        <v>156</v>
      </c>
      <c r="C93" s="3">
        <v>4.75262820512821</v>
      </c>
      <c r="D93" s="3">
        <v>6.66152419952647</v>
      </c>
      <c r="E93" s="3">
        <v>3.70726458496208</v>
      </c>
      <c r="F93" s="3">
        <v>5.79799182529433</v>
      </c>
      <c r="G93" s="3">
        <v>1.985</v>
      </c>
      <c r="H93" s="3">
        <v>0.1475</v>
      </c>
      <c r="I93" s="3">
        <v>6.2025</v>
      </c>
      <c r="J93" s="3">
        <v>0</v>
      </c>
      <c r="K93" s="3">
        <v>23.50125</v>
      </c>
      <c r="L93" s="5">
        <v>155</v>
      </c>
      <c r="M93" s="5">
        <v>6.41483870967742</v>
      </c>
      <c r="N93" s="5">
        <v>8.76726344152138</v>
      </c>
      <c r="O93" s="5">
        <v>5.03459975994662</v>
      </c>
      <c r="P93" s="5">
        <v>7.79507765940822</v>
      </c>
      <c r="Q93" s="5">
        <v>2.6</v>
      </c>
      <c r="R93" s="5">
        <v>0.58</v>
      </c>
      <c r="S93" s="5">
        <v>8.29</v>
      </c>
      <c r="T93" s="5">
        <v>0</v>
      </c>
      <c r="U93" s="5">
        <v>31.4765</v>
      </c>
      <c r="V93" s="6">
        <v>0.0212857024889499</v>
      </c>
    </row>
    <row r="94" ht="14.5" hidden="1" spans="1:22">
      <c r="A94" t="s">
        <v>1293</v>
      </c>
      <c r="B94">
        <v>156</v>
      </c>
      <c r="C94" s="3">
        <v>42.4501923076923</v>
      </c>
      <c r="D94" s="3">
        <v>106.107557375622</v>
      </c>
      <c r="E94" s="3">
        <v>25.7992011857132</v>
      </c>
      <c r="F94" s="3">
        <v>59.1011834296714</v>
      </c>
      <c r="G94" s="3">
        <v>7.53</v>
      </c>
      <c r="H94" s="3">
        <v>1.1525</v>
      </c>
      <c r="I94" s="3">
        <v>24.6225</v>
      </c>
      <c r="J94" s="3">
        <v>0</v>
      </c>
      <c r="K94" s="3">
        <v>383.545</v>
      </c>
      <c r="L94" s="5">
        <v>155</v>
      </c>
      <c r="M94" s="5">
        <v>43.398</v>
      </c>
      <c r="N94" s="5">
        <v>73.6651521553979</v>
      </c>
      <c r="O94" s="5">
        <v>31.8008222807592</v>
      </c>
      <c r="P94" s="5">
        <v>54.9951777192408</v>
      </c>
      <c r="Q94" s="5">
        <v>15.62</v>
      </c>
      <c r="R94" s="5">
        <v>3.31</v>
      </c>
      <c r="S94" s="5">
        <v>41.85</v>
      </c>
      <c r="T94" s="5">
        <v>0</v>
      </c>
      <c r="U94" s="5">
        <v>246.9555</v>
      </c>
      <c r="V94" s="6">
        <v>0.00119334766504124</v>
      </c>
    </row>
    <row r="95" ht="14.5" hidden="1" spans="1:22">
      <c r="A95" t="s">
        <v>1294</v>
      </c>
      <c r="B95">
        <v>156</v>
      </c>
      <c r="C95" s="3">
        <v>2.44448717948718</v>
      </c>
      <c r="D95" s="3">
        <v>3.14721675194219</v>
      </c>
      <c r="E95" s="3">
        <v>1.95060833153649</v>
      </c>
      <c r="F95" s="3">
        <v>2.93836602743787</v>
      </c>
      <c r="G95" s="3">
        <v>1.315</v>
      </c>
      <c r="H95" s="3">
        <v>0.2575</v>
      </c>
      <c r="I95" s="3">
        <v>3.6825</v>
      </c>
      <c r="J95" s="3">
        <v>0</v>
      </c>
      <c r="K95" s="3">
        <v>9.8175</v>
      </c>
      <c r="L95" s="5">
        <v>155</v>
      </c>
      <c r="M95" s="5">
        <v>4.80354838709677</v>
      </c>
      <c r="N95" s="5">
        <v>5.08437825719663</v>
      </c>
      <c r="O95" s="5">
        <v>4.00310969233692</v>
      </c>
      <c r="P95" s="5">
        <v>5.60398708185663</v>
      </c>
      <c r="Q95" s="5">
        <v>3.24</v>
      </c>
      <c r="R95" s="5">
        <v>0.955</v>
      </c>
      <c r="S95" s="5">
        <v>6.745</v>
      </c>
      <c r="T95" s="5">
        <v>0.0385</v>
      </c>
      <c r="U95" s="5">
        <v>19.037</v>
      </c>
      <c r="V95" s="6">
        <v>8.67833942570654e-7</v>
      </c>
    </row>
    <row r="96" ht="14.5" hidden="1" spans="1:22">
      <c r="A96" t="s">
        <v>1295</v>
      </c>
      <c r="B96">
        <v>156</v>
      </c>
      <c r="C96" s="3">
        <v>44.8939102564103</v>
      </c>
      <c r="D96" s="3">
        <v>106.115152081997</v>
      </c>
      <c r="E96" s="3">
        <v>28.2417273306467</v>
      </c>
      <c r="F96" s="3">
        <v>61.5460931821738</v>
      </c>
      <c r="G96" s="3">
        <v>10.05</v>
      </c>
      <c r="H96" s="3">
        <v>1.8525</v>
      </c>
      <c r="I96" s="3">
        <v>31.1275</v>
      </c>
      <c r="J96" s="3">
        <v>0.03875</v>
      </c>
      <c r="K96" s="3">
        <v>383.61875</v>
      </c>
      <c r="L96" s="5">
        <v>155</v>
      </c>
      <c r="M96" s="5">
        <v>48.2010967741936</v>
      </c>
      <c r="N96" s="5">
        <v>74.5440290846014</v>
      </c>
      <c r="O96" s="5">
        <v>36.4655565912493</v>
      </c>
      <c r="P96" s="5">
        <v>59.9366369571378</v>
      </c>
      <c r="Q96" s="5">
        <v>20.26</v>
      </c>
      <c r="R96" s="5">
        <v>5.21</v>
      </c>
      <c r="S96" s="5">
        <v>52.36</v>
      </c>
      <c r="T96" s="5">
        <v>0.2185</v>
      </c>
      <c r="U96" s="5">
        <v>257.0445</v>
      </c>
      <c r="V96" s="6">
        <v>0.000610967716455724</v>
      </c>
    </row>
    <row r="97" ht="14.5" hidden="1" spans="1:22">
      <c r="A97" t="s">
        <v>1296</v>
      </c>
      <c r="B97">
        <v>156</v>
      </c>
      <c r="C97" s="3">
        <v>4.19128205128205</v>
      </c>
      <c r="D97" s="3">
        <v>10.6124170557463</v>
      </c>
      <c r="E97" s="3">
        <v>2.5259222357467</v>
      </c>
      <c r="F97" s="3">
        <v>5.8566418668174</v>
      </c>
      <c r="G97" s="3">
        <v>0.315</v>
      </c>
      <c r="H97" s="3">
        <v>0.14</v>
      </c>
      <c r="I97" s="3">
        <v>1.4225</v>
      </c>
      <c r="J97" s="3">
        <v>0.03</v>
      </c>
      <c r="K97" s="3">
        <v>34.86</v>
      </c>
      <c r="L97" s="5">
        <v>155</v>
      </c>
      <c r="M97" s="5">
        <v>5.33045161290323</v>
      </c>
      <c r="N97" s="5">
        <v>12.1389880267756</v>
      </c>
      <c r="O97" s="5">
        <v>3.41939872888448</v>
      </c>
      <c r="P97" s="5">
        <v>7.24150449692197</v>
      </c>
      <c r="Q97" s="5">
        <v>1</v>
      </c>
      <c r="R97" s="5">
        <v>0.29</v>
      </c>
      <c r="S97" s="5">
        <v>2.975</v>
      </c>
      <c r="T97" s="5">
        <v>0.0785</v>
      </c>
      <c r="U97" s="5">
        <v>32.4245000000001</v>
      </c>
      <c r="V97" s="6">
        <v>7.50215883580143e-6</v>
      </c>
    </row>
    <row r="98" ht="14.5" hidden="1" spans="1:22">
      <c r="A98" t="s">
        <v>1297</v>
      </c>
      <c r="B98">
        <v>156</v>
      </c>
      <c r="C98" s="3">
        <v>7.35275641025641</v>
      </c>
      <c r="D98" s="3">
        <v>12.2859630669401</v>
      </c>
      <c r="E98" s="3">
        <v>5.42477439830234</v>
      </c>
      <c r="F98" s="3">
        <v>9.28073842221049</v>
      </c>
      <c r="G98" s="3">
        <v>1.655</v>
      </c>
      <c r="H98" s="3">
        <v>0.8025</v>
      </c>
      <c r="I98" s="3">
        <v>7.25</v>
      </c>
      <c r="J98" s="3">
        <v>0.30625</v>
      </c>
      <c r="K98" s="3">
        <v>45.90375</v>
      </c>
      <c r="L98" s="5">
        <v>155</v>
      </c>
      <c r="M98" s="5">
        <v>7.7718064516129</v>
      </c>
      <c r="N98" s="5">
        <v>11.1573639110148</v>
      </c>
      <c r="O98" s="5">
        <v>6.01529162243936</v>
      </c>
      <c r="P98" s="5">
        <v>9.52832128078645</v>
      </c>
      <c r="Q98" s="5">
        <v>3.82</v>
      </c>
      <c r="R98" s="5">
        <v>1.365</v>
      </c>
      <c r="S98" s="5">
        <v>10.16</v>
      </c>
      <c r="T98" s="5">
        <v>0.234</v>
      </c>
      <c r="U98" s="5">
        <v>45.1815</v>
      </c>
      <c r="V98" s="6">
        <v>0.00628720692002819</v>
      </c>
    </row>
    <row r="99" ht="14.5" hidden="1" spans="1:22">
      <c r="A99" t="s">
        <v>1298</v>
      </c>
      <c r="B99">
        <v>156</v>
      </c>
      <c r="C99" s="3">
        <v>11.5432051282051</v>
      </c>
      <c r="D99" s="3">
        <v>20.904417529353</v>
      </c>
      <c r="E99" s="3">
        <v>8.26276705856605</v>
      </c>
      <c r="F99" s="3">
        <v>14.8236431978442</v>
      </c>
      <c r="G99" s="3">
        <v>2.51</v>
      </c>
      <c r="H99" s="3">
        <v>1.17</v>
      </c>
      <c r="I99" s="3">
        <v>8.3975</v>
      </c>
      <c r="J99" s="3">
        <v>0.37875</v>
      </c>
      <c r="K99" s="3">
        <v>72.57125</v>
      </c>
      <c r="L99" s="5">
        <v>155</v>
      </c>
      <c r="M99" s="5">
        <v>13.102</v>
      </c>
      <c r="N99" s="5">
        <v>22.4291615432336</v>
      </c>
      <c r="O99" s="5">
        <v>9.57095492781005</v>
      </c>
      <c r="P99" s="5">
        <v>16.63304507219</v>
      </c>
      <c r="Q99" s="5">
        <v>4.79</v>
      </c>
      <c r="R99" s="5">
        <v>2.26</v>
      </c>
      <c r="S99" s="5">
        <v>13.14</v>
      </c>
      <c r="T99" s="5">
        <v>0.691</v>
      </c>
      <c r="U99" s="5">
        <v>65.4290000000003</v>
      </c>
      <c r="V99" s="6">
        <v>0.000194354813545899</v>
      </c>
    </row>
    <row r="100" ht="14.5" hidden="1" spans="1:22">
      <c r="A100" t="s">
        <v>1299</v>
      </c>
      <c r="B100">
        <v>156</v>
      </c>
      <c r="C100" s="3">
        <v>300.280705128205</v>
      </c>
      <c r="D100" s="3">
        <v>543.065308443638</v>
      </c>
      <c r="E100" s="3">
        <v>215.059860796269</v>
      </c>
      <c r="F100" s="3">
        <v>385.501549460142</v>
      </c>
      <c r="G100" s="3">
        <v>128.26</v>
      </c>
      <c r="H100" s="3">
        <v>12.935</v>
      </c>
      <c r="I100" s="3">
        <v>419.1275</v>
      </c>
      <c r="J100" s="3">
        <v>0.8425</v>
      </c>
      <c r="K100" s="3">
        <v>1476.03375</v>
      </c>
      <c r="L100" s="5">
        <v>155</v>
      </c>
      <c r="M100" s="5">
        <v>306.061096774194</v>
      </c>
      <c r="N100" s="5">
        <v>524.565838932315</v>
      </c>
      <c r="O100" s="5">
        <v>223.478178236165</v>
      </c>
      <c r="P100" s="5">
        <v>388.644015312222</v>
      </c>
      <c r="Q100" s="5">
        <v>126.65</v>
      </c>
      <c r="R100" s="5">
        <v>32.715</v>
      </c>
      <c r="S100" s="5">
        <v>356.285</v>
      </c>
      <c r="T100" s="5">
        <v>4.3135</v>
      </c>
      <c r="U100" s="5">
        <v>1524.3545</v>
      </c>
      <c r="V100" s="6">
        <v>0.194797170054085</v>
      </c>
    </row>
    <row r="101" ht="14.5" hidden="1" spans="1:22">
      <c r="A101" t="s">
        <v>1300</v>
      </c>
      <c r="B101">
        <v>156</v>
      </c>
      <c r="C101" s="3">
        <v>153.476538461538</v>
      </c>
      <c r="D101" s="3">
        <v>256.600653268104</v>
      </c>
      <c r="E101" s="3">
        <v>113.209329365998</v>
      </c>
      <c r="F101" s="3">
        <v>193.743747557079</v>
      </c>
      <c r="G101" s="3">
        <v>61</v>
      </c>
      <c r="H101" s="3">
        <v>23.18</v>
      </c>
      <c r="I101" s="3">
        <v>215.4525</v>
      </c>
      <c r="J101" s="3">
        <v>3.715</v>
      </c>
      <c r="K101" s="3">
        <v>639.1875</v>
      </c>
      <c r="L101" s="5">
        <v>155</v>
      </c>
      <c r="M101" s="5">
        <v>150.532580645161</v>
      </c>
      <c r="N101" s="5">
        <v>245.706799907064</v>
      </c>
      <c r="O101" s="5">
        <v>111.850716263247</v>
      </c>
      <c r="P101" s="5">
        <v>189.214445027075</v>
      </c>
      <c r="Q101" s="5">
        <v>61.79</v>
      </c>
      <c r="R101" s="5">
        <v>21.585</v>
      </c>
      <c r="S101" s="5">
        <v>175.415</v>
      </c>
      <c r="T101" s="5">
        <v>3.865</v>
      </c>
      <c r="U101" s="5">
        <v>629.2415</v>
      </c>
      <c r="V101" s="6">
        <v>0.89863838288479</v>
      </c>
    </row>
    <row r="102" ht="14.5" hidden="1" spans="1:22">
      <c r="A102" t="s">
        <v>1301</v>
      </c>
      <c r="B102">
        <v>156</v>
      </c>
      <c r="C102" s="3">
        <v>453.756474358974</v>
      </c>
      <c r="D102" s="3">
        <v>795.583272036475</v>
      </c>
      <c r="E102" s="3">
        <v>328.909099420551</v>
      </c>
      <c r="F102" s="3">
        <v>578.603849297397</v>
      </c>
      <c r="G102" s="3">
        <v>185.83</v>
      </c>
      <c r="H102" s="3">
        <v>45.46</v>
      </c>
      <c r="I102" s="3">
        <v>623.225</v>
      </c>
      <c r="J102" s="3">
        <v>8.26625</v>
      </c>
      <c r="K102" s="3">
        <v>2004.15875</v>
      </c>
      <c r="L102" s="5">
        <v>155</v>
      </c>
      <c r="M102" s="5">
        <v>456.593483870968</v>
      </c>
      <c r="N102" s="5">
        <v>757.279009758128</v>
      </c>
      <c r="O102" s="5">
        <v>337.374300821033</v>
      </c>
      <c r="P102" s="5">
        <v>575.812666920903</v>
      </c>
      <c r="Q102" s="5">
        <v>193.29</v>
      </c>
      <c r="R102" s="5">
        <v>79.125</v>
      </c>
      <c r="S102" s="5">
        <v>527.9</v>
      </c>
      <c r="T102" s="5">
        <v>18.368</v>
      </c>
      <c r="U102" s="5">
        <v>2150.652</v>
      </c>
      <c r="V102" s="6">
        <v>0.337485463513503</v>
      </c>
    </row>
    <row r="103" ht="14.5" hidden="1" spans="1:22">
      <c r="A103" t="s">
        <v>1302</v>
      </c>
      <c r="B103">
        <v>156</v>
      </c>
      <c r="C103" s="3">
        <v>0.079551282051282</v>
      </c>
      <c r="D103" s="3">
        <v>0.932590801908746</v>
      </c>
      <c r="E103" s="3">
        <v>-0.0667960804466661</v>
      </c>
      <c r="F103" s="3">
        <v>0.22589864454923</v>
      </c>
      <c r="G103" s="3">
        <v>0</v>
      </c>
      <c r="H103" s="3">
        <v>0</v>
      </c>
      <c r="I103" s="3">
        <v>0</v>
      </c>
      <c r="J103" s="3">
        <v>0</v>
      </c>
      <c r="K103" s="3">
        <v>0.08125</v>
      </c>
      <c r="L103" s="5">
        <v>155</v>
      </c>
      <c r="M103" s="5">
        <v>1.40806451612903</v>
      </c>
      <c r="N103" s="5">
        <v>17.463172942412</v>
      </c>
      <c r="O103" s="5">
        <v>-1.3411800619282</v>
      </c>
      <c r="P103" s="5">
        <v>4.15730909418627</v>
      </c>
      <c r="Q103" s="5">
        <v>0</v>
      </c>
      <c r="R103" s="5">
        <v>0</v>
      </c>
      <c r="S103" s="5">
        <v>0</v>
      </c>
      <c r="T103" s="5">
        <v>0</v>
      </c>
      <c r="U103" s="5">
        <v>0.0815000000000001</v>
      </c>
      <c r="V103" s="6">
        <v>0.161709933656925</v>
      </c>
    </row>
    <row r="104" ht="14.5" hidden="1" spans="1:22">
      <c r="A104" t="s">
        <v>1303</v>
      </c>
      <c r="B104">
        <v>156</v>
      </c>
      <c r="C104" s="3">
        <v>8.23923076923077</v>
      </c>
      <c r="D104" s="3">
        <v>12.5518585457634</v>
      </c>
      <c r="E104" s="3">
        <v>6.26952295219018</v>
      </c>
      <c r="F104" s="3">
        <v>10.2089385862714</v>
      </c>
      <c r="G104" s="3">
        <v>3.465</v>
      </c>
      <c r="H104" s="3">
        <v>1.1875</v>
      </c>
      <c r="I104" s="3">
        <v>9.2375</v>
      </c>
      <c r="J104" s="3">
        <v>0.03875</v>
      </c>
      <c r="K104" s="3">
        <v>41.56875</v>
      </c>
      <c r="L104" s="5">
        <v>155</v>
      </c>
      <c r="M104" s="5">
        <v>18.1391612903226</v>
      </c>
      <c r="N104" s="5">
        <v>21.2760708813714</v>
      </c>
      <c r="O104" s="5">
        <v>14.7896484208192</v>
      </c>
      <c r="P104" s="5">
        <v>21.4886741598259</v>
      </c>
      <c r="Q104" s="5">
        <v>10.04</v>
      </c>
      <c r="R104" s="5">
        <v>4.26</v>
      </c>
      <c r="S104" s="5">
        <v>22.64</v>
      </c>
      <c r="T104" s="5">
        <v>0.137</v>
      </c>
      <c r="U104" s="5">
        <v>64.6485</v>
      </c>
      <c r="V104" s="6">
        <v>1.01666786972929e-9</v>
      </c>
    </row>
    <row r="105" ht="14.5" hidden="1" spans="1:22">
      <c r="A105" t="s">
        <v>1304</v>
      </c>
      <c r="B105">
        <v>156</v>
      </c>
      <c r="C105" s="3">
        <v>8.31884615384615</v>
      </c>
      <c r="D105" s="3">
        <v>12.6218935219485</v>
      </c>
      <c r="E105" s="3">
        <v>6.33814805679604</v>
      </c>
      <c r="F105" s="3">
        <v>10.2995442508963</v>
      </c>
      <c r="G105" s="3">
        <v>3.465</v>
      </c>
      <c r="H105" s="3">
        <v>1.2025</v>
      </c>
      <c r="I105" s="3">
        <v>9.2375</v>
      </c>
      <c r="J105" s="3">
        <v>0.03875</v>
      </c>
      <c r="K105" s="3">
        <v>41.57125</v>
      </c>
      <c r="L105" s="5">
        <v>155</v>
      </c>
      <c r="M105" s="5">
        <v>19.5469677419355</v>
      </c>
      <c r="N105" s="5">
        <v>29.2997326430379</v>
      </c>
      <c r="O105" s="5">
        <v>14.934281870185</v>
      </c>
      <c r="P105" s="5">
        <v>24.1596536136859</v>
      </c>
      <c r="Q105" s="5">
        <v>10.04</v>
      </c>
      <c r="R105" s="5">
        <v>4.26</v>
      </c>
      <c r="S105" s="5">
        <v>22.65</v>
      </c>
      <c r="T105" s="5">
        <v>0.137</v>
      </c>
      <c r="U105" s="5">
        <v>68.1900000000001</v>
      </c>
      <c r="V105" s="6">
        <v>1.26753623553812e-9</v>
      </c>
    </row>
    <row r="106" ht="14.5" hidden="1" spans="1:22">
      <c r="A106" t="s">
        <v>1305</v>
      </c>
      <c r="B106">
        <v>156</v>
      </c>
      <c r="C106" s="3">
        <v>549.807435897436</v>
      </c>
      <c r="D106" s="3">
        <v>455.847464388596</v>
      </c>
      <c r="E106" s="3">
        <v>478.273303265945</v>
      </c>
      <c r="F106" s="3">
        <v>621.341568528926</v>
      </c>
      <c r="G106" s="3">
        <v>424.71</v>
      </c>
      <c r="H106" s="3">
        <v>256.1225</v>
      </c>
      <c r="I106" s="3">
        <v>624.915</v>
      </c>
      <c r="J106" s="3">
        <v>93.21</v>
      </c>
      <c r="K106" s="3">
        <v>1746.95</v>
      </c>
      <c r="L106" s="5">
        <v>155</v>
      </c>
      <c r="M106" s="5">
        <v>690.462387096774</v>
      </c>
      <c r="N106" s="5">
        <v>434.017658628549</v>
      </c>
      <c r="O106" s="5">
        <v>622.134558087665</v>
      </c>
      <c r="P106" s="5">
        <v>758.790216105884</v>
      </c>
      <c r="Q106" s="5">
        <v>601.38</v>
      </c>
      <c r="R106" s="5">
        <v>394.68</v>
      </c>
      <c r="S106" s="5">
        <v>866.04</v>
      </c>
      <c r="T106" s="5">
        <v>197.115</v>
      </c>
      <c r="U106" s="5">
        <v>1795.121</v>
      </c>
      <c r="V106" s="6">
        <v>2.35584223336752e-5</v>
      </c>
    </row>
    <row r="107" ht="14.5" hidden="1" spans="1:22">
      <c r="A107" t="s">
        <v>1306</v>
      </c>
      <c r="B107">
        <v>156</v>
      </c>
      <c r="C107" s="3">
        <v>383.119487179487</v>
      </c>
      <c r="D107" s="3">
        <v>454.848987424426</v>
      </c>
      <c r="E107" s="3">
        <v>311.742041135428</v>
      </c>
      <c r="F107" s="3">
        <v>454.496933223546</v>
      </c>
      <c r="G107" s="3">
        <v>254.225</v>
      </c>
      <c r="H107" s="3">
        <v>111.0725</v>
      </c>
      <c r="I107" s="3">
        <v>507.56</v>
      </c>
      <c r="J107" s="3">
        <v>24.99875</v>
      </c>
      <c r="K107" s="3">
        <v>1493.5925</v>
      </c>
      <c r="L107" s="5">
        <v>155</v>
      </c>
      <c r="M107" s="5">
        <v>380.23</v>
      </c>
      <c r="N107" s="5">
        <v>405.637287006988</v>
      </c>
      <c r="O107" s="5">
        <v>316.370120948274</v>
      </c>
      <c r="P107" s="5">
        <v>444.089879051726</v>
      </c>
      <c r="Q107" s="5">
        <v>278.12</v>
      </c>
      <c r="R107" s="5">
        <v>149.365</v>
      </c>
      <c r="S107" s="5">
        <v>476.16</v>
      </c>
      <c r="T107" s="5">
        <v>28.932</v>
      </c>
      <c r="U107" s="5">
        <v>1193.8895</v>
      </c>
      <c r="V107" s="6">
        <v>0.368861658726278</v>
      </c>
    </row>
    <row r="108" ht="14.5" hidden="1" spans="1:22">
      <c r="A108" t="s">
        <v>1307</v>
      </c>
      <c r="B108">
        <v>156</v>
      </c>
      <c r="C108" s="3">
        <v>129.856794871795</v>
      </c>
      <c r="D108" s="3">
        <v>200.337775243864</v>
      </c>
      <c r="E108" s="3">
        <v>98.4186711463208</v>
      </c>
      <c r="F108" s="3">
        <v>161.294918597269</v>
      </c>
      <c r="G108" s="3">
        <v>69.38</v>
      </c>
      <c r="H108" s="3">
        <v>11.62</v>
      </c>
      <c r="I108" s="3">
        <v>159.3475</v>
      </c>
      <c r="J108" s="3">
        <v>1.75625</v>
      </c>
      <c r="K108" s="3">
        <v>572.63625</v>
      </c>
      <c r="L108" s="5">
        <v>155</v>
      </c>
      <c r="M108" s="5">
        <v>127.860387096774</v>
      </c>
      <c r="N108" s="5">
        <v>138.482543233321</v>
      </c>
      <c r="O108" s="5">
        <v>106.058943430421</v>
      </c>
      <c r="P108" s="5">
        <v>149.661830763128</v>
      </c>
      <c r="Q108" s="5">
        <v>87.23</v>
      </c>
      <c r="R108" s="5">
        <v>38.275</v>
      </c>
      <c r="S108" s="5">
        <v>181.72</v>
      </c>
      <c r="T108" s="5">
        <v>3.634</v>
      </c>
      <c r="U108" s="5">
        <v>511.1105</v>
      </c>
      <c r="V108" s="6">
        <v>0.0308850741963831</v>
      </c>
    </row>
    <row r="109" ht="14.5" hidden="1" spans="1:22">
      <c r="A109" t="s">
        <v>1308</v>
      </c>
      <c r="B109">
        <v>156</v>
      </c>
      <c r="C109" s="3">
        <v>245.716538461538</v>
      </c>
      <c r="D109" s="3">
        <v>400.411173838889</v>
      </c>
      <c r="E109" s="3">
        <v>182.881778472384</v>
      </c>
      <c r="F109" s="3">
        <v>308.551298450693</v>
      </c>
      <c r="G109" s="3">
        <v>104.79</v>
      </c>
      <c r="H109" s="3">
        <v>33.2825</v>
      </c>
      <c r="I109" s="3">
        <v>331.75</v>
      </c>
      <c r="J109" s="3">
        <v>6.00875</v>
      </c>
      <c r="K109" s="3">
        <v>1115.125</v>
      </c>
      <c r="L109" s="5">
        <v>155</v>
      </c>
      <c r="M109" s="5">
        <v>239.182387096774</v>
      </c>
      <c r="N109" s="5">
        <v>382.500621895911</v>
      </c>
      <c r="O109" s="5">
        <v>178.964936103266</v>
      </c>
      <c r="P109" s="5">
        <v>299.399838090282</v>
      </c>
      <c r="Q109" s="5">
        <v>110.84</v>
      </c>
      <c r="R109" s="5">
        <v>40.79</v>
      </c>
      <c r="S109" s="5">
        <v>277.655</v>
      </c>
      <c r="T109" s="5">
        <v>10.235</v>
      </c>
      <c r="U109" s="5">
        <v>1075.971</v>
      </c>
      <c r="V109" s="6">
        <v>0.599380652165547</v>
      </c>
    </row>
    <row r="110" customFormat="1" ht="14.5" hidden="1" spans="1:23">
      <c r="A110" t="s">
        <v>1308</v>
      </c>
      <c r="B110">
        <v>156</v>
      </c>
      <c r="C110" s="3">
        <v>245.716538461538</v>
      </c>
      <c r="D110" s="3">
        <v>400.411173838889</v>
      </c>
      <c r="E110" s="3">
        <v>182.881778472384</v>
      </c>
      <c r="F110" s="3">
        <v>308.551298450693</v>
      </c>
      <c r="G110" s="3">
        <v>104.79</v>
      </c>
      <c r="H110" s="3">
        <v>33.2825</v>
      </c>
      <c r="I110" s="3">
        <v>331.75</v>
      </c>
      <c r="J110" s="3">
        <v>6.00875</v>
      </c>
      <c r="K110" s="3">
        <v>1115.125</v>
      </c>
      <c r="L110" s="5">
        <v>155</v>
      </c>
      <c r="M110" s="5">
        <v>239.182387096774</v>
      </c>
      <c r="N110" s="5">
        <v>382.500621895911</v>
      </c>
      <c r="O110" s="5">
        <v>178.964936103266</v>
      </c>
      <c r="P110" s="5">
        <v>299.399838090282</v>
      </c>
      <c r="Q110" s="5">
        <v>110.84</v>
      </c>
      <c r="R110" s="5">
        <v>40.79</v>
      </c>
      <c r="S110" s="5">
        <v>277.655</v>
      </c>
      <c r="T110" s="5">
        <v>10.235</v>
      </c>
      <c r="U110" s="5">
        <v>1075.971</v>
      </c>
      <c r="V110" s="6">
        <v>0.599380652165547</v>
      </c>
      <c r="W110" s="1"/>
    </row>
    <row r="113" ht="14.5" customHeight="1"/>
    <row r="114" ht="14" spans="1:18">
      <c r="A114" s="10" t="s">
        <v>251</v>
      </c>
      <c r="B114" s="11" t="s">
        <v>1309</v>
      </c>
      <c r="C114" s="11"/>
      <c r="D114" s="11"/>
      <c r="E114" s="11"/>
      <c r="F114" s="11"/>
      <c r="G114" s="11"/>
      <c r="H114" s="11" t="s">
        <v>1310</v>
      </c>
      <c r="I114" s="11"/>
      <c r="J114" s="11"/>
      <c r="K114" s="11"/>
      <c r="L114" s="11"/>
      <c r="M114" s="11"/>
      <c r="N114" s="17" t="s">
        <v>1311</v>
      </c>
      <c r="O114" s="18" t="s">
        <v>229</v>
      </c>
      <c r="P114" s="18" t="s">
        <v>230</v>
      </c>
      <c r="Q114" s="18" t="s">
        <v>231</v>
      </c>
      <c r="R114" s="18" t="s">
        <v>232</v>
      </c>
    </row>
    <row r="115" ht="28" spans="1:18">
      <c r="A115" s="12"/>
      <c r="B115" s="13" t="s">
        <v>101</v>
      </c>
      <c r="C115" s="13" t="s">
        <v>1312</v>
      </c>
      <c r="D115" s="13" t="s">
        <v>643</v>
      </c>
      <c r="E115" s="13" t="s">
        <v>0</v>
      </c>
      <c r="F115" s="13" t="s">
        <v>104</v>
      </c>
      <c r="G115" s="13" t="s">
        <v>105</v>
      </c>
      <c r="H115" s="13" t="s">
        <v>101</v>
      </c>
      <c r="I115" s="13" t="s">
        <v>102</v>
      </c>
      <c r="J115" s="13" t="s">
        <v>643</v>
      </c>
      <c r="K115" s="13" t="s">
        <v>0</v>
      </c>
      <c r="L115" s="13" t="s">
        <v>104</v>
      </c>
      <c r="M115" s="13" t="s">
        <v>105</v>
      </c>
      <c r="N115" s="19" t="s">
        <v>234</v>
      </c>
      <c r="O115" s="20"/>
      <c r="P115" s="20"/>
      <c r="Q115" s="20"/>
      <c r="R115" s="20"/>
    </row>
    <row r="116" ht="14" spans="1:18">
      <c r="A116" s="2" t="s">
        <v>251</v>
      </c>
      <c r="B116" s="14">
        <f>VLOOKUP($A116,$A$2:$V$110,2,FALSE)</f>
        <v>156</v>
      </c>
      <c r="C116" s="15" t="str">
        <f>CONCATENATE(ROUND(VLOOKUP($A116,$A$2:$V$110,3,FALSE),2)," ± ",ROUND(VLOOKUP($A116,$A$2:$V$110,4,FALSE),2))</f>
        <v>0,41 ± 0,26</v>
      </c>
      <c r="D116" s="15" t="str">
        <f>CONCATENATE(ROUND(VLOOKUP($A116,$A$2:$V$110,5,FALSE),2),"; ",ROUND(VLOOKUP($A$116,$A2:$V$110,6,FALSE),2))</f>
        <v>0,37; 0,45</v>
      </c>
      <c r="E116" s="16">
        <f>ROUND(VLOOKUP($A116,$A$2:$V$110,7,FALSE),2)</f>
        <v>0.37</v>
      </c>
      <c r="F116" s="15" t="str">
        <f>CONCATENATE(ROUND(VLOOKUP($A116,$A$2:$V$110,8,FALSE),2),"; ",ROUND(VLOOKUP($A116,$A$2:$V$110,9,FALSE),2))</f>
        <v>0,24; 0,55</v>
      </c>
      <c r="G116" s="15" t="str">
        <f>CONCATENATE(ROUND(VLOOKUP($A116,$A$2:$V$110,10,FALSE),2),"; ",ROUND(VLOOKUP($A116,$A$2:$V$110,11,FALSE),2))</f>
        <v>0,03; 1,04</v>
      </c>
      <c r="H116" s="14">
        <f>VLOOKUP($A116,$A$2:$V$110,12,FALSE)</f>
        <v>155</v>
      </c>
      <c r="I116" s="15" t="str">
        <f>CONCATENATE(ROUND(VLOOKUP($A116,$A$2:$V$110,13,FALSE),2)," ± ",ROUND(VLOOKUP($A116,$A$2:$V$110,14,FALSE),2))</f>
        <v>-0,35 ± 0,26</v>
      </c>
      <c r="J116" s="15" t="str">
        <f>CONCATENATE(ROUND(VLOOKUP($A116,$A$2:$V$110,15,FALSE),2),"; ",ROUND(VLOOKUP($A116,$A$2:$V$110,16,FALSE),2))</f>
        <v>-0,39; -0,31</v>
      </c>
      <c r="K116" s="16">
        <f>VLOOKUP($A116,$A$2:$V$110,17,FALSE)</f>
        <v>-0.303651225</v>
      </c>
      <c r="L116" s="15" t="str">
        <f>CONCATENATE(ROUND(VLOOKUP($A116,$A$2:$V$110,18,FALSE),2),"; ",ROUND(VLOOKUP($A116,$A$2:$V$110,19,FALSE),2))</f>
        <v>-0,51; -0,16</v>
      </c>
      <c r="M116" s="15" t="str">
        <f>CONCATENATE(ROUND(VLOOKUP($A116,$A$2:$V$110,20,FALSE),2),"; ",ROUND(VLOOKUP($A116,$A$2:$V$110,21,FALSE),2))</f>
        <v>-0,95; -0,02</v>
      </c>
      <c r="N116" s="15">
        <f>VLOOKUP($A116,$A$2:$V$110,22,FALSE)</f>
        <v>1.7153013610194e-52</v>
      </c>
      <c r="O116" s="21">
        <v>1.93024481895602e-57</v>
      </c>
      <c r="P116" s="21">
        <v>4.28381768942824e-54</v>
      </c>
      <c r="Q116" s="21">
        <v>1.56562307611998e-54</v>
      </c>
      <c r="R116" s="21">
        <v>3.14881870420233e-54</v>
      </c>
    </row>
    <row r="117" ht="14" spans="1:18">
      <c r="A117" s="2" t="s">
        <v>648</v>
      </c>
      <c r="B117" s="14">
        <f t="shared" ref="B117:B149" si="0">VLOOKUP($A117,$A$2:$V$110,2,FALSE)</f>
        <v>156</v>
      </c>
      <c r="C117" s="15" t="str">
        <f t="shared" ref="C117:C149" si="1">CONCATENATE(ROUND(VLOOKUP($A117,$A$2:$V$110,3,FALSE),2)," ± ",ROUND(VLOOKUP($A117,$A$2:$V$110,4,FALSE),2))</f>
        <v>39,42 ± 10,74</v>
      </c>
      <c r="D117" s="15" t="str">
        <f>CONCATENATE(ROUND(VLOOKUP($A117,$A$2:$V$110,5,FALSE),2),"; ",ROUND(VLOOKUP($A$116,$A3:$V$110,6,FALSE),2))</f>
        <v>37,73; 0,45</v>
      </c>
      <c r="E117" s="16">
        <f t="shared" ref="E117:E149" si="2">ROUND(VLOOKUP($A117,$A$2:$V$110,7,FALSE),2)</f>
        <v>39.5</v>
      </c>
      <c r="F117" s="15" t="str">
        <f t="shared" ref="F117:F149" si="3">CONCATENATE(ROUND(VLOOKUP($A117,$A$2:$V$110,8,FALSE),2),"; ",ROUND(VLOOKUP($A117,$A$2:$V$110,9,FALSE),2))</f>
        <v>29; 48</v>
      </c>
      <c r="G117" s="15" t="str">
        <f t="shared" ref="G117:G149" si="4">CONCATENATE(ROUND(VLOOKUP($A117,$A$2:$V$110,10,FALSE),2),"; ",ROUND(VLOOKUP($A117,$A$2:$V$110,11,FALSE),2))</f>
        <v>22; 59</v>
      </c>
      <c r="H117" s="14">
        <f t="shared" ref="H117:H149" si="5">VLOOKUP($A117,$A$2:$V$110,12,FALSE)</f>
        <v>155</v>
      </c>
      <c r="I117" s="15" t="str">
        <f t="shared" ref="I117:I149" si="6">CONCATENATE(ROUND(VLOOKUP($A117,$A$2:$V$110,13,FALSE),2)," ± ",ROUND(VLOOKUP($A117,$A$2:$V$110,14,FALSE),2))</f>
        <v>41,43 ± 11,12</v>
      </c>
      <c r="J117" s="15" t="str">
        <f t="shared" ref="J117:J149" si="7">CONCATENATE(ROUND(VLOOKUP($A117,$A$2:$V$110,15,FALSE),2),"; ",ROUND(VLOOKUP($A117,$A$2:$V$110,16,FALSE),2))</f>
        <v>39,68; 43,18</v>
      </c>
      <c r="K117" s="16">
        <f t="shared" ref="K117:K149" si="8">VLOOKUP($A117,$A$2:$V$110,17,FALSE)</f>
        <v>43</v>
      </c>
      <c r="L117" s="22" t="str">
        <f t="shared" ref="L117:L149" si="9">CONCATENATE(ROUND(VLOOKUP($A117,$A$2:$V$110,18,FALSE),2),"; ",ROUND(VLOOKUP($A117,$A$2:$V$110,19,FALSE),2))</f>
        <v>32; 51</v>
      </c>
      <c r="M117" s="15" t="str">
        <f t="shared" ref="M117:M149" si="10">CONCATENATE(ROUND(VLOOKUP($A117,$A$2:$V$110,20,FALSE),2),"; ",ROUND(VLOOKUP($A117,$A$2:$V$110,21,FALSE),2))</f>
        <v>21; 60</v>
      </c>
      <c r="N117" s="15">
        <f t="shared" ref="N117:N149" si="11">VLOOKUP($A117,$A$2:$V$110,22,FALSE)</f>
        <v>0.0876869083406212</v>
      </c>
      <c r="O117" s="21">
        <v>0.0491981277018524</v>
      </c>
      <c r="P117" s="21">
        <v>0.917067940999721</v>
      </c>
      <c r="Q117" s="21">
        <v>0.900449998992932</v>
      </c>
      <c r="R117" s="21">
        <v>0.867311805184066</v>
      </c>
    </row>
    <row r="118" ht="14" spans="1:18">
      <c r="A118" s="2" t="s">
        <v>236</v>
      </c>
      <c r="B118" s="14">
        <f t="shared" si="0"/>
        <v>156</v>
      </c>
      <c r="C118" s="15" t="str">
        <f t="shared" si="1"/>
        <v>1038,9 ± 868,74</v>
      </c>
      <c r="D118" s="15" t="str">
        <f>CONCATENATE(ROUND(VLOOKUP($A118,$A$2:$V$110,5,FALSE),2),"; ",ROUND(VLOOKUP($A$116,$A4:$V$110,6,FALSE),2))</f>
        <v>902,58; 0,45</v>
      </c>
      <c r="E118" s="16">
        <f t="shared" si="2"/>
        <v>802.21</v>
      </c>
      <c r="F118" s="15" t="str">
        <f t="shared" si="3"/>
        <v>523,35; 1169,66</v>
      </c>
      <c r="G118" s="15" t="str">
        <f t="shared" si="4"/>
        <v>186,6; 3386,75</v>
      </c>
      <c r="H118" s="14">
        <f t="shared" si="5"/>
        <v>155</v>
      </c>
      <c r="I118" s="15" t="str">
        <f t="shared" si="6"/>
        <v>1365,71 ± 846,62</v>
      </c>
      <c r="J118" s="15" t="str">
        <f t="shared" si="7"/>
        <v>1232,42; 1498,99</v>
      </c>
      <c r="K118" s="16">
        <f t="shared" si="8"/>
        <v>1230.02</v>
      </c>
      <c r="L118" s="15" t="str">
        <f t="shared" si="9"/>
        <v>763,43; 1645,29</v>
      </c>
      <c r="M118" s="15" t="str">
        <f t="shared" si="10"/>
        <v>377,73; 3152,64</v>
      </c>
      <c r="N118" s="15">
        <f t="shared" si="11"/>
        <v>8.46324974320198e-7</v>
      </c>
      <c r="O118" s="21">
        <v>1.24549734180294e-5</v>
      </c>
      <c r="P118" s="21">
        <v>4.5652089561811e-5</v>
      </c>
      <c r="Q118" s="21">
        <v>5.01236562680532e-5</v>
      </c>
      <c r="R118" s="21">
        <v>5.42397165710994e-5</v>
      </c>
    </row>
    <row r="119" ht="14" spans="1:18">
      <c r="A119" s="2" t="s">
        <v>657</v>
      </c>
      <c r="B119" s="14">
        <f t="shared" si="0"/>
        <v>156</v>
      </c>
      <c r="C119" s="15" t="str">
        <f t="shared" si="1"/>
        <v>74,93 ± 14,88</v>
      </c>
      <c r="D119" s="15" t="str">
        <f>CONCATENATE(ROUND(VLOOKUP($A119,$A$2:$V$110,5,FALSE),2),"; ",ROUND(VLOOKUP($A$116,$A5:$V$110,6,FALSE),2))</f>
        <v>72,6; 0,45</v>
      </c>
      <c r="E119" s="16">
        <f t="shared" si="2"/>
        <v>74</v>
      </c>
      <c r="F119" s="15" t="str">
        <f t="shared" si="3"/>
        <v>63,8; 84,95</v>
      </c>
      <c r="G119" s="15" t="str">
        <f t="shared" si="4"/>
        <v>50,93; 104,39</v>
      </c>
      <c r="H119" s="14">
        <f t="shared" si="5"/>
        <v>155</v>
      </c>
      <c r="I119" s="15" t="str">
        <f t="shared" si="6"/>
        <v>73,07 ± 15,28</v>
      </c>
      <c r="J119" s="15" t="str">
        <f t="shared" si="7"/>
        <v>70,66; 75,47</v>
      </c>
      <c r="K119" s="16">
        <f t="shared" si="8"/>
        <v>70.4</v>
      </c>
      <c r="L119" s="15" t="str">
        <f t="shared" si="9"/>
        <v>61,4; 82,25</v>
      </c>
      <c r="M119" s="15" t="str">
        <f t="shared" si="10"/>
        <v>47,88; 103,41</v>
      </c>
      <c r="N119" s="15">
        <f t="shared" si="11"/>
        <v>0.182908068521473</v>
      </c>
      <c r="O119" s="21">
        <v>0.285131284290369</v>
      </c>
      <c r="P119" s="21">
        <v>0.138977041109988</v>
      </c>
      <c r="Q119" s="21">
        <v>0.0961482183366193</v>
      </c>
      <c r="R119" s="21">
        <v>0.0889475125376911</v>
      </c>
    </row>
    <row r="120" ht="16" spans="1:18">
      <c r="A120" s="2" t="s">
        <v>658</v>
      </c>
      <c r="B120" s="14">
        <f t="shared" si="0"/>
        <v>156</v>
      </c>
      <c r="C120" s="15" t="str">
        <f t="shared" si="1"/>
        <v>28,07 ± 4,74</v>
      </c>
      <c r="D120" s="15" t="str">
        <f>CONCATENATE(ROUND(VLOOKUP($A120,$A$2:$V$110,5,FALSE),2),"; ",ROUND(VLOOKUP($A$116,$A6:$V$110,6,FALSE),2))</f>
        <v>27,33; 0,45</v>
      </c>
      <c r="E120" s="16">
        <f t="shared" si="2"/>
        <v>27.57</v>
      </c>
      <c r="F120" s="15" t="str">
        <f t="shared" si="3"/>
        <v>24,38; 31,33</v>
      </c>
      <c r="G120" s="15" t="str">
        <f t="shared" si="4"/>
        <v>20,38; 38,01</v>
      </c>
      <c r="H120" s="14">
        <f t="shared" si="5"/>
        <v>155</v>
      </c>
      <c r="I120" s="15" t="str">
        <f t="shared" si="6"/>
        <v>27,04 ± 4,67</v>
      </c>
      <c r="J120" s="15" t="str">
        <f t="shared" si="7"/>
        <v>26,3; 27,77</v>
      </c>
      <c r="K120" s="16">
        <f t="shared" si="8"/>
        <v>26.26</v>
      </c>
      <c r="L120" s="15" t="str">
        <f t="shared" si="9"/>
        <v>23,93; 29,81</v>
      </c>
      <c r="M120" s="15" t="str">
        <f t="shared" si="10"/>
        <v>20,33; 36,55</v>
      </c>
      <c r="N120" s="15">
        <f t="shared" si="11"/>
        <v>0.0511969883625478</v>
      </c>
      <c r="O120" s="21">
        <v>0.104198959542687</v>
      </c>
      <c r="P120" s="21">
        <v>0.163358600723822</v>
      </c>
      <c r="Q120" s="21">
        <v>0.113480926619661</v>
      </c>
      <c r="R120" s="21">
        <v>0.104717256377418</v>
      </c>
    </row>
    <row r="121" ht="14" spans="1:18">
      <c r="A121" s="2" t="s">
        <v>663</v>
      </c>
      <c r="B121" s="14">
        <f t="shared" si="0"/>
        <v>156</v>
      </c>
      <c r="C121" s="15" t="str">
        <f t="shared" si="1"/>
        <v>93,21 ± 12,83</v>
      </c>
      <c r="D121" s="15" t="str">
        <f>CONCATENATE(ROUND(VLOOKUP($A121,$A$2:$V$110,5,FALSE),2),"; ",ROUND(VLOOKUP($A$116,$A7:$V$110,6,FALSE),2))</f>
        <v>91,2; 0,45</v>
      </c>
      <c r="E121" s="16">
        <f t="shared" si="2"/>
        <v>92.8</v>
      </c>
      <c r="F121" s="15" t="str">
        <f t="shared" si="3"/>
        <v>83,18; 101,4</v>
      </c>
      <c r="G121" s="15" t="str">
        <f t="shared" si="4"/>
        <v>69,88; 118,48</v>
      </c>
      <c r="H121" s="14">
        <f t="shared" si="5"/>
        <v>155</v>
      </c>
      <c r="I121" s="15" t="str">
        <f t="shared" si="6"/>
        <v>91,12 ± 13,08</v>
      </c>
      <c r="J121" s="15" t="str">
        <f t="shared" si="7"/>
        <v>89,06; 93,18</v>
      </c>
      <c r="K121" s="16">
        <f t="shared" si="8"/>
        <v>89.7</v>
      </c>
      <c r="L121" s="15" t="str">
        <f t="shared" si="9"/>
        <v>81,2; 98,85</v>
      </c>
      <c r="M121" s="15" t="str">
        <f t="shared" si="10"/>
        <v>71,63; 118,51</v>
      </c>
      <c r="N121" s="15">
        <f t="shared" si="11"/>
        <v>0.0993972516946935</v>
      </c>
      <c r="O121" s="21">
        <v>0.211143136455383</v>
      </c>
      <c r="P121" s="21">
        <v>0.0351221965761837</v>
      </c>
      <c r="Q121" s="21">
        <v>0.0233950521289662</v>
      </c>
      <c r="R121" s="21">
        <v>0.0193836636265978</v>
      </c>
    </row>
    <row r="122" ht="14" spans="1:18">
      <c r="A122" s="2" t="s">
        <v>14</v>
      </c>
      <c r="B122" s="14">
        <f t="shared" si="0"/>
        <v>156</v>
      </c>
      <c r="C122" s="15" t="str">
        <f t="shared" si="1"/>
        <v>34,87 ± 7,25</v>
      </c>
      <c r="D122" s="15" t="str">
        <f>CONCATENATE(ROUND(VLOOKUP($A122,$A$2:$V$110,5,FALSE),2),"; ",ROUND(VLOOKUP($A$116,$A8:$V$110,6,FALSE),2))</f>
        <v>33,73; 0,45</v>
      </c>
      <c r="E122" s="16">
        <f t="shared" si="2"/>
        <v>35.15</v>
      </c>
      <c r="F122" s="15" t="str">
        <f t="shared" si="3"/>
        <v>29,05; 40,38</v>
      </c>
      <c r="G122" s="15" t="str">
        <f t="shared" si="4"/>
        <v>21,17; 47,94</v>
      </c>
      <c r="H122" s="14">
        <f t="shared" si="5"/>
        <v>155</v>
      </c>
      <c r="I122" s="15" t="str">
        <f t="shared" si="6"/>
        <v>32,72 ± 7,08</v>
      </c>
      <c r="J122" s="15" t="str">
        <f t="shared" si="7"/>
        <v>31,6; 33,83</v>
      </c>
      <c r="K122" s="16">
        <f t="shared" si="8"/>
        <v>32.79</v>
      </c>
      <c r="L122" s="15" t="str">
        <f t="shared" si="9"/>
        <v>27,62; 38</v>
      </c>
      <c r="M122" s="15" t="str">
        <f t="shared" si="10"/>
        <v>18,39; 45,06</v>
      </c>
      <c r="N122" s="15">
        <f t="shared" si="11"/>
        <v>0.0165050176059273</v>
      </c>
      <c r="O122" s="21">
        <v>0.0114740984544346</v>
      </c>
      <c r="P122" s="21">
        <v>0.0344549852325604</v>
      </c>
      <c r="Q122" s="21">
        <v>0.0220830664656566</v>
      </c>
      <c r="R122" s="21">
        <v>0.0193836636265978</v>
      </c>
    </row>
    <row r="123" ht="14" spans="1:18">
      <c r="A123" s="2" t="s">
        <v>672</v>
      </c>
      <c r="B123" s="14">
        <f t="shared" si="0"/>
        <v>156</v>
      </c>
      <c r="C123" s="15" t="str">
        <f t="shared" si="1"/>
        <v>7,33 ± 6,59</v>
      </c>
      <c r="D123" s="15" t="str">
        <f>CONCATENATE(ROUND(VLOOKUP($A123,$A$2:$V$110,5,FALSE),2),"; ",ROUND(VLOOKUP($A$116,$A9:$V$110,6,FALSE),2))</f>
        <v>6,3; 0,45</v>
      </c>
      <c r="E123" s="16">
        <f t="shared" si="2"/>
        <v>5.83</v>
      </c>
      <c r="F123" s="15" t="str">
        <f t="shared" si="3"/>
        <v>2,52; 10,17</v>
      </c>
      <c r="G123" s="15" t="str">
        <f t="shared" si="4"/>
        <v>0,44; 22,49</v>
      </c>
      <c r="H123" s="14">
        <f t="shared" si="5"/>
        <v>155</v>
      </c>
      <c r="I123" s="15" t="str">
        <f t="shared" si="6"/>
        <v>6,23 ± 5,54</v>
      </c>
      <c r="J123" s="15" t="str">
        <f t="shared" si="7"/>
        <v>5,35; 7,1</v>
      </c>
      <c r="K123" s="16">
        <f t="shared" si="8"/>
        <v>4.66</v>
      </c>
      <c r="L123" s="15" t="str">
        <f t="shared" si="9"/>
        <v>1,93; 8,76</v>
      </c>
      <c r="M123" s="15" t="str">
        <f t="shared" si="10"/>
        <v>0,47; 20,55</v>
      </c>
      <c r="N123" s="15">
        <f t="shared" si="11"/>
        <v>0.131127813632237</v>
      </c>
      <c r="O123" s="21">
        <v>0.0527170775913748</v>
      </c>
      <c r="P123" s="21">
        <v>0.520409802748222</v>
      </c>
      <c r="Q123" s="21">
        <v>0.409040167987263</v>
      </c>
      <c r="R123" s="21">
        <v>0.393617188180451</v>
      </c>
    </row>
    <row r="124" ht="14" spans="1:18">
      <c r="A124" s="2" t="s">
        <v>677</v>
      </c>
      <c r="B124" s="14">
        <f t="shared" si="0"/>
        <v>156</v>
      </c>
      <c r="C124" s="15" t="str">
        <f t="shared" si="1"/>
        <v>6,3 ± 3,37</v>
      </c>
      <c r="D124" s="15" t="str">
        <f>CONCATENATE(ROUND(VLOOKUP($A124,$A$2:$V$110,5,FALSE),2),"; ",ROUND(VLOOKUP($A$116,$A10:$V$110,6,FALSE),2))</f>
        <v>5,77; 0,45</v>
      </c>
      <c r="E124" s="16">
        <f t="shared" si="2"/>
        <v>5.69</v>
      </c>
      <c r="F124" s="15" t="str">
        <f t="shared" si="3"/>
        <v>3,99; 7,87</v>
      </c>
      <c r="G124" s="15" t="str">
        <f t="shared" si="4"/>
        <v>1,73; 14,32</v>
      </c>
      <c r="H124" s="14">
        <f t="shared" si="5"/>
        <v>155</v>
      </c>
      <c r="I124" s="15" t="str">
        <f t="shared" si="6"/>
        <v>7,08 ± 4,42</v>
      </c>
      <c r="J124" s="15" t="str">
        <f t="shared" si="7"/>
        <v>6,38; 7,77</v>
      </c>
      <c r="K124" s="16">
        <f t="shared" si="8"/>
        <v>6.17</v>
      </c>
      <c r="L124" s="15" t="str">
        <f t="shared" si="9"/>
        <v>3,99; 8,77</v>
      </c>
      <c r="M124" s="15" t="str">
        <f t="shared" si="10"/>
        <v>1,7; 17,49</v>
      </c>
      <c r="N124" s="15">
        <f t="shared" si="11"/>
        <v>0.236296946935412</v>
      </c>
      <c r="O124" s="21">
        <v>0.133792030459098</v>
      </c>
      <c r="P124" s="21">
        <v>0.0351221965761837</v>
      </c>
      <c r="Q124" s="21">
        <v>0.0306107986434531</v>
      </c>
      <c r="R124" s="21">
        <v>0.0321936468928788</v>
      </c>
    </row>
    <row r="125" ht="14" spans="1:18">
      <c r="A125" s="2" t="s">
        <v>303</v>
      </c>
      <c r="B125" s="14">
        <f t="shared" si="0"/>
        <v>156</v>
      </c>
      <c r="C125" s="15" t="str">
        <f t="shared" si="1"/>
        <v>1,56 ± 2,21</v>
      </c>
      <c r="D125" s="15" t="str">
        <f>CONCATENATE(ROUND(VLOOKUP($A125,$A$2:$V$110,5,FALSE),2),"; ",ROUND(VLOOKUP($A$116,$A11:$V$110,6,FALSE),2))</f>
        <v>1,21; 0,45</v>
      </c>
      <c r="E125" s="16">
        <f t="shared" si="2"/>
        <v>0.9</v>
      </c>
      <c r="F125" s="15" t="str">
        <f t="shared" si="3"/>
        <v>0,45; 1,74</v>
      </c>
      <c r="G125" s="15" t="str">
        <f t="shared" si="4"/>
        <v>0,07; 6,6</v>
      </c>
      <c r="H125" s="14">
        <f t="shared" si="5"/>
        <v>155</v>
      </c>
      <c r="I125" s="15" t="str">
        <f t="shared" si="6"/>
        <v>1,28 ± 3,15</v>
      </c>
      <c r="J125" s="15" t="str">
        <f t="shared" si="7"/>
        <v>0,78; 1,77</v>
      </c>
      <c r="K125" s="16">
        <f t="shared" si="8"/>
        <v>0.76</v>
      </c>
      <c r="L125" s="15" t="str">
        <f t="shared" si="9"/>
        <v>0,34; 1,4</v>
      </c>
      <c r="M125" s="15" t="str">
        <f t="shared" si="10"/>
        <v>0,08; 3,82</v>
      </c>
      <c r="N125" s="15">
        <f t="shared" si="11"/>
        <v>0.0453284057823927</v>
      </c>
      <c r="O125" s="21">
        <v>0.00635034777964277</v>
      </c>
      <c r="P125" s="21">
        <v>0.101376794658449</v>
      </c>
      <c r="Q125" s="21">
        <v>0.0724030094452985</v>
      </c>
      <c r="R125" s="21">
        <v>0.0704873091065833</v>
      </c>
    </row>
    <row r="126" ht="14" spans="1:18">
      <c r="A126" s="2" t="s">
        <v>686</v>
      </c>
      <c r="B126" s="14">
        <f t="shared" si="0"/>
        <v>156</v>
      </c>
      <c r="C126" s="15" t="str">
        <f t="shared" si="1"/>
        <v>101,54 ± 55,54</v>
      </c>
      <c r="D126" s="15" t="str">
        <f>CONCATENATE(ROUND(VLOOKUP($A126,$A$2:$V$110,5,FALSE),2),"; ",ROUND(VLOOKUP($A$116,$A12:$V$110,6,FALSE),2))</f>
        <v>92,83; 0,45</v>
      </c>
      <c r="E126" s="16">
        <f t="shared" si="2"/>
        <v>94.8</v>
      </c>
      <c r="F126" s="15" t="str">
        <f t="shared" si="3"/>
        <v>79,53; 114,25</v>
      </c>
      <c r="G126" s="15" t="str">
        <f t="shared" si="4"/>
        <v>52,44; 163,75</v>
      </c>
      <c r="H126" s="14">
        <f t="shared" si="5"/>
        <v>155</v>
      </c>
      <c r="I126" s="15" t="str">
        <f t="shared" si="6"/>
        <v>91,34 ± 27,12</v>
      </c>
      <c r="J126" s="15" t="str">
        <f t="shared" si="7"/>
        <v>87,07; 95,61</v>
      </c>
      <c r="K126" s="16">
        <f t="shared" si="8"/>
        <v>90.3</v>
      </c>
      <c r="L126" s="15" t="str">
        <f t="shared" si="9"/>
        <v>75,85; 103</v>
      </c>
      <c r="M126" s="15" t="str">
        <f t="shared" si="10"/>
        <v>46,94; 152,95</v>
      </c>
      <c r="N126" s="15">
        <f t="shared" si="11"/>
        <v>0.0405976596167595</v>
      </c>
      <c r="O126" s="21">
        <v>0.133792030459098</v>
      </c>
      <c r="P126" s="21">
        <v>0.0412324327416459</v>
      </c>
      <c r="Q126" s="21">
        <v>0.0335405508934231</v>
      </c>
      <c r="R126" s="21">
        <v>0.0331247318910996</v>
      </c>
    </row>
    <row r="127" ht="14" spans="1:18">
      <c r="A127" s="2" t="s">
        <v>691</v>
      </c>
      <c r="B127" s="14">
        <f t="shared" si="0"/>
        <v>156</v>
      </c>
      <c r="C127" s="15" t="str">
        <f t="shared" si="1"/>
        <v>44,81 ± 12,91</v>
      </c>
      <c r="D127" s="15" t="str">
        <f>CONCATENATE(ROUND(VLOOKUP($A127,$A$2:$V$110,5,FALSE),2),"; ",ROUND(VLOOKUP($A$116,$A13:$V$110,6,FALSE),2))</f>
        <v>42,79; 0,45</v>
      </c>
      <c r="E127" s="16">
        <f t="shared" si="2"/>
        <v>43</v>
      </c>
      <c r="F127" s="15" t="str">
        <f t="shared" si="3"/>
        <v>36; 52</v>
      </c>
      <c r="G127" s="15" t="str">
        <f t="shared" si="4"/>
        <v>25,88; 73</v>
      </c>
      <c r="H127" s="14">
        <f t="shared" si="5"/>
        <v>155</v>
      </c>
      <c r="I127" s="15" t="str">
        <f t="shared" si="6"/>
        <v>47,19 ± 15,64</v>
      </c>
      <c r="J127" s="15" t="str">
        <f t="shared" si="7"/>
        <v>44,73; 49,66</v>
      </c>
      <c r="K127" s="16">
        <f t="shared" si="8"/>
        <v>45</v>
      </c>
      <c r="L127" s="15" t="str">
        <f t="shared" si="9"/>
        <v>37,5; 54</v>
      </c>
      <c r="M127" s="15" t="str">
        <f t="shared" si="10"/>
        <v>26,7; 87,45</v>
      </c>
      <c r="N127" s="15">
        <f t="shared" si="11"/>
        <v>0.169631571119271</v>
      </c>
      <c r="O127" s="21">
        <v>0.133792030459098</v>
      </c>
      <c r="P127" s="21">
        <v>0.0140559970880067</v>
      </c>
      <c r="Q127" s="21">
        <v>0.0129566648963904</v>
      </c>
      <c r="R127" s="21">
        <v>0.0118026968723731</v>
      </c>
    </row>
    <row r="128" ht="14" spans="1:18">
      <c r="A128" s="2" t="s">
        <v>696</v>
      </c>
      <c r="B128" s="14">
        <f t="shared" si="0"/>
        <v>156</v>
      </c>
      <c r="C128" s="15" t="str">
        <f t="shared" si="1"/>
        <v>29,47 ± 19,86</v>
      </c>
      <c r="D128" s="15" t="str">
        <f>CONCATENATE(ROUND(VLOOKUP($A128,$A$2:$V$110,5,FALSE),2),"; ",ROUND(VLOOKUP($A$116,$A14:$V$110,6,FALSE),2))</f>
        <v>26,36; 0,45</v>
      </c>
      <c r="E128" s="16">
        <f t="shared" si="2"/>
        <v>25</v>
      </c>
      <c r="F128" s="15" t="str">
        <f t="shared" si="3"/>
        <v>18; 36,05</v>
      </c>
      <c r="G128" s="15" t="str">
        <f t="shared" si="4"/>
        <v>10; 88,08</v>
      </c>
      <c r="H128" s="14">
        <f t="shared" si="5"/>
        <v>155</v>
      </c>
      <c r="I128" s="15" t="str">
        <f t="shared" si="6"/>
        <v>29,75 ± 22,75</v>
      </c>
      <c r="J128" s="15" t="str">
        <f t="shared" si="7"/>
        <v>26,17; 33,33</v>
      </c>
      <c r="K128" s="16">
        <f t="shared" si="8"/>
        <v>24.6</v>
      </c>
      <c r="L128" s="15" t="str">
        <f t="shared" si="9"/>
        <v>16,4; 34,5</v>
      </c>
      <c r="M128" s="15" t="str">
        <f t="shared" si="10"/>
        <v>8; 78,34</v>
      </c>
      <c r="N128" s="15">
        <f t="shared" si="11"/>
        <v>0.753925616610203</v>
      </c>
      <c r="O128" s="21">
        <v>0.884216850176303</v>
      </c>
      <c r="P128" s="21">
        <v>0.165014961468054</v>
      </c>
      <c r="Q128" s="21">
        <v>0.144344772286663</v>
      </c>
      <c r="R128" s="21">
        <v>0.136268404335269</v>
      </c>
    </row>
    <row r="129" ht="14" spans="1:18">
      <c r="A129" s="2" t="s">
        <v>701</v>
      </c>
      <c r="B129" s="14">
        <f t="shared" si="0"/>
        <v>154</v>
      </c>
      <c r="C129" s="15" t="str">
        <f t="shared" si="1"/>
        <v>115,5 ± 28,97</v>
      </c>
      <c r="D129" s="15" t="str">
        <f>CONCATENATE(ROUND(VLOOKUP($A129,$A$2:$V$110,5,FALSE),2),"; ",ROUND(VLOOKUP($A$116,$A15:$V$110,6,FALSE),2))</f>
        <v>110,92; 0,45</v>
      </c>
      <c r="E129" s="16">
        <f t="shared" si="2"/>
        <v>113</v>
      </c>
      <c r="F129" s="15" t="str">
        <f t="shared" si="3"/>
        <v>96; 134,75</v>
      </c>
      <c r="G129" s="15" t="str">
        <f t="shared" si="4"/>
        <v>64,48; 171</v>
      </c>
      <c r="H129" s="14">
        <f t="shared" si="5"/>
        <v>155</v>
      </c>
      <c r="I129" s="15" t="str">
        <f t="shared" si="6"/>
        <v>114,71 ± 31,28</v>
      </c>
      <c r="J129" s="15" t="str">
        <f t="shared" si="7"/>
        <v>109,78; 119,63</v>
      </c>
      <c r="K129" s="16">
        <f t="shared" si="8"/>
        <v>112</v>
      </c>
      <c r="L129" s="15" t="str">
        <f t="shared" si="9"/>
        <v>93; 134,5</v>
      </c>
      <c r="M129" s="15" t="str">
        <f t="shared" si="10"/>
        <v>62,55; 176,35</v>
      </c>
      <c r="N129" s="15">
        <f t="shared" si="11"/>
        <v>0.741028648090311</v>
      </c>
      <c r="O129" s="21">
        <v>0.884216850176303</v>
      </c>
      <c r="P129" s="21">
        <v>0.623598121100411</v>
      </c>
      <c r="Q129" s="21">
        <v>0.616974687411471</v>
      </c>
      <c r="R129" s="21">
        <v>0.630598585923807</v>
      </c>
    </row>
    <row r="130" ht="14" spans="1:18">
      <c r="A130" s="2" t="s">
        <v>706</v>
      </c>
      <c r="B130" s="14">
        <f t="shared" si="0"/>
        <v>156</v>
      </c>
      <c r="C130" s="15" t="str">
        <f t="shared" si="1"/>
        <v>187,01 ± 33,25</v>
      </c>
      <c r="D130" s="15" t="str">
        <f>CONCATENATE(ROUND(VLOOKUP($A130,$A$2:$V$110,5,FALSE),2),"; ",ROUND(VLOOKUP($A$116,$A16:$V$110,6,FALSE),2))</f>
        <v>181,79; 0,45</v>
      </c>
      <c r="E130" s="16">
        <f t="shared" si="2"/>
        <v>184</v>
      </c>
      <c r="F130" s="15" t="str">
        <f t="shared" si="3"/>
        <v>165; 208,25</v>
      </c>
      <c r="G130" s="15" t="str">
        <f t="shared" si="4"/>
        <v>128,88; 253,25</v>
      </c>
      <c r="H130" s="14">
        <f t="shared" si="5"/>
        <v>155</v>
      </c>
      <c r="I130" s="15" t="str">
        <f t="shared" si="6"/>
        <v>186,86 ± 35,78</v>
      </c>
      <c r="J130" s="15" t="str">
        <f t="shared" si="7"/>
        <v>181,22; 192,49</v>
      </c>
      <c r="K130" s="16">
        <f t="shared" si="8"/>
        <v>187</v>
      </c>
      <c r="L130" s="15" t="str">
        <f t="shared" si="9"/>
        <v>163; 209,5</v>
      </c>
      <c r="M130" s="15" t="str">
        <f t="shared" si="10"/>
        <v>121,25; 260</v>
      </c>
      <c r="N130" s="15">
        <f t="shared" si="11"/>
        <v>0.963782775221787</v>
      </c>
      <c r="O130" s="21">
        <v>0.885962025142087</v>
      </c>
      <c r="P130" s="21">
        <v>0.861415408342021</v>
      </c>
      <c r="Q130" s="21">
        <v>0.847238420850901</v>
      </c>
      <c r="R130" s="21">
        <v>0.848625307443605</v>
      </c>
    </row>
    <row r="131" ht="14" spans="1:18">
      <c r="A131" s="2" t="s">
        <v>711</v>
      </c>
      <c r="B131" s="14">
        <f t="shared" si="0"/>
        <v>156</v>
      </c>
      <c r="C131" s="15" t="str">
        <f t="shared" si="1"/>
        <v>148,38 ± 99,05</v>
      </c>
      <c r="D131" s="15" t="str">
        <f>CONCATENATE(ROUND(VLOOKUP($A131,$A$2:$V$110,5,FALSE),2),"; ",ROUND(VLOOKUP($A$116,$A17:$V$110,6,FALSE),2))</f>
        <v>132,84; 0,45</v>
      </c>
      <c r="E131" s="16">
        <f t="shared" si="2"/>
        <v>125</v>
      </c>
      <c r="F131" s="15" t="str">
        <f t="shared" si="3"/>
        <v>90,5; 180,25</v>
      </c>
      <c r="G131" s="15" t="str">
        <f t="shared" si="4"/>
        <v>51; 440,38</v>
      </c>
      <c r="H131" s="14">
        <f t="shared" si="5"/>
        <v>155</v>
      </c>
      <c r="I131" s="15" t="str">
        <f t="shared" si="6"/>
        <v>146,94 ± 113,33</v>
      </c>
      <c r="J131" s="15" t="str">
        <f t="shared" si="7"/>
        <v>129,09; 164,78</v>
      </c>
      <c r="K131" s="16">
        <f t="shared" si="8"/>
        <v>122</v>
      </c>
      <c r="L131" s="15" t="str">
        <f t="shared" si="9"/>
        <v>81,5; 168</v>
      </c>
      <c r="M131" s="15" t="str">
        <f t="shared" si="10"/>
        <v>39,85; 391,7</v>
      </c>
      <c r="N131" s="15">
        <f t="shared" si="11"/>
        <v>0.51843769249375</v>
      </c>
      <c r="O131" s="21">
        <v>0.720668180951496</v>
      </c>
      <c r="P131" s="21">
        <v>0.108032468940229</v>
      </c>
      <c r="Q131" s="21">
        <v>0.0908751101248857</v>
      </c>
      <c r="R131" s="21">
        <v>0.087226892530898</v>
      </c>
    </row>
    <row r="132" ht="14" spans="1:18">
      <c r="A132" s="2" t="s">
        <v>49</v>
      </c>
      <c r="B132" s="14">
        <f t="shared" si="0"/>
        <v>156</v>
      </c>
      <c r="C132" s="15" t="str">
        <f t="shared" si="1"/>
        <v>4,51 ± 1,63</v>
      </c>
      <c r="D132" s="15" t="str">
        <f>CONCATENATE(ROUND(VLOOKUP($A132,$A$2:$V$110,5,FALSE),2),"; ",ROUND(VLOOKUP($A$116,$A18:$V$110,6,FALSE),2))</f>
        <v>4,25; 0,45</v>
      </c>
      <c r="E132" s="16">
        <f t="shared" si="2"/>
        <v>4.31</v>
      </c>
      <c r="F132" s="15" t="str">
        <f t="shared" si="3"/>
        <v>3,45; 5,25</v>
      </c>
      <c r="G132" s="15" t="str">
        <f t="shared" si="4"/>
        <v>2,38; 7,75</v>
      </c>
      <c r="H132" s="14">
        <f t="shared" si="5"/>
        <v>155</v>
      </c>
      <c r="I132" s="15" t="str">
        <f t="shared" si="6"/>
        <v>4,31 ± 1,51</v>
      </c>
      <c r="J132" s="15" t="str">
        <f t="shared" si="7"/>
        <v>4,07; 4,55</v>
      </c>
      <c r="K132" s="16">
        <f t="shared" si="8"/>
        <v>3.98</v>
      </c>
      <c r="L132" s="15" t="str">
        <f t="shared" si="9"/>
        <v>3,29; 5,01</v>
      </c>
      <c r="M132" s="15" t="str">
        <f t="shared" si="10"/>
        <v>2,17; 7,71</v>
      </c>
      <c r="N132" s="15">
        <f t="shared" si="11"/>
        <v>0.189417627257282</v>
      </c>
      <c r="O132" s="21">
        <v>0.214531812351998</v>
      </c>
      <c r="P132" s="21">
        <v>0.0206338022324554</v>
      </c>
      <c r="Q132" s="21">
        <v>0.0190612930144145</v>
      </c>
      <c r="R132" s="21">
        <v>0.0179956547014226</v>
      </c>
    </row>
    <row r="133" ht="14" spans="1:18">
      <c r="A133" s="2" t="s">
        <v>365</v>
      </c>
      <c r="B133" s="14">
        <f t="shared" si="0"/>
        <v>156</v>
      </c>
      <c r="C133" s="15" t="str">
        <f t="shared" si="1"/>
        <v>0,47 ± 0,31</v>
      </c>
      <c r="D133" s="15" t="str">
        <f>CONCATENATE(ROUND(VLOOKUP($A133,$A$2:$V$110,5,FALSE),2),"; ",ROUND(VLOOKUP($A$116,$A19:$V$110,6,FALSE),2))</f>
        <v>0,42; 0,45</v>
      </c>
      <c r="E133" s="16">
        <f t="shared" si="2"/>
        <v>0.47</v>
      </c>
      <c r="F133" s="15" t="str">
        <f t="shared" si="3"/>
        <v>0,25; 0,68</v>
      </c>
      <c r="G133" s="15" t="str">
        <f t="shared" si="4"/>
        <v>-0,09; 1,12</v>
      </c>
      <c r="H133" s="14">
        <f t="shared" si="5"/>
        <v>155</v>
      </c>
      <c r="I133" s="15" t="str">
        <f t="shared" si="6"/>
        <v>0,43 ± 0,34</v>
      </c>
      <c r="J133" s="15" t="str">
        <f t="shared" si="7"/>
        <v>0,38; 0,49</v>
      </c>
      <c r="K133" s="16">
        <f t="shared" si="8"/>
        <v>0.42</v>
      </c>
      <c r="L133" s="15" t="str">
        <f t="shared" si="9"/>
        <v>0,22; 0,66</v>
      </c>
      <c r="M133" s="15" t="str">
        <f t="shared" si="10"/>
        <v>-0,15; 1,06</v>
      </c>
      <c r="N133" s="15">
        <f t="shared" si="11"/>
        <v>0.323648116578059</v>
      </c>
      <c r="O133" s="21"/>
      <c r="P133" s="21"/>
      <c r="Q133" s="21"/>
      <c r="R133" s="21"/>
    </row>
    <row r="134" ht="14" hidden="1" spans="1:18">
      <c r="A134" s="2" t="s">
        <v>724</v>
      </c>
      <c r="B134" s="14" t="e">
        <f t="shared" si="0"/>
        <v>#N/A</v>
      </c>
      <c r="C134" s="15" t="e">
        <f t="shared" si="1"/>
        <v>#N/A</v>
      </c>
      <c r="D134" s="15" t="e">
        <f>CONCATENATE(ROUND(VLOOKUP($A134,$A$2:$V$110,5,FALSE),2),"; ",ROUND(VLOOKUP($A$116,$A20:$V$110,6,FALSE),2))</f>
        <v>#N/A</v>
      </c>
      <c r="E134" s="16" t="e">
        <f t="shared" si="2"/>
        <v>#N/A</v>
      </c>
      <c r="F134" s="15" t="e">
        <f t="shared" si="3"/>
        <v>#N/A</v>
      </c>
      <c r="G134" s="15" t="e">
        <f t="shared" si="4"/>
        <v>#N/A</v>
      </c>
      <c r="H134" s="14" t="e">
        <f t="shared" si="5"/>
        <v>#N/A</v>
      </c>
      <c r="I134" s="15" t="e">
        <f t="shared" si="6"/>
        <v>#N/A</v>
      </c>
      <c r="J134" s="15" t="e">
        <f t="shared" si="7"/>
        <v>#N/A</v>
      </c>
      <c r="K134" s="16" t="e">
        <f t="shared" si="8"/>
        <v>#N/A</v>
      </c>
      <c r="L134" s="15" t="e">
        <f t="shared" si="9"/>
        <v>#N/A</v>
      </c>
      <c r="M134" s="15" t="e">
        <f t="shared" si="10"/>
        <v>#N/A</v>
      </c>
      <c r="N134" s="15" t="e">
        <f t="shared" si="11"/>
        <v>#N/A</v>
      </c>
      <c r="O134" s="21">
        <v>0.570533517119021</v>
      </c>
      <c r="P134" s="21">
        <v>0.0545431344272197</v>
      </c>
      <c r="Q134" s="21">
        <v>0.0430087576234836</v>
      </c>
      <c r="R134" s="21">
        <v>0.0400764514202897</v>
      </c>
    </row>
    <row r="135" ht="14" hidden="1" spans="1:18">
      <c r="A135" s="2" t="s">
        <v>729</v>
      </c>
      <c r="B135" s="14" t="e">
        <f t="shared" si="0"/>
        <v>#N/A</v>
      </c>
      <c r="C135" s="15" t="e">
        <f t="shared" si="1"/>
        <v>#N/A</v>
      </c>
      <c r="D135" s="15" t="e">
        <f>CONCATENATE(ROUND(VLOOKUP($A135,$A$2:$V$110,5,FALSE),2),"; ",ROUND(VLOOKUP($A$116,$A21:$V$110,6,FALSE),2))</f>
        <v>#N/A</v>
      </c>
      <c r="E135" s="16" t="e">
        <f t="shared" si="2"/>
        <v>#N/A</v>
      </c>
      <c r="F135" s="15" t="e">
        <f t="shared" si="3"/>
        <v>#N/A</v>
      </c>
      <c r="G135" s="15" t="e">
        <f t="shared" si="4"/>
        <v>#N/A</v>
      </c>
      <c r="H135" s="14" t="e">
        <f t="shared" si="5"/>
        <v>#N/A</v>
      </c>
      <c r="I135" s="15" t="e">
        <f t="shared" si="6"/>
        <v>#N/A</v>
      </c>
      <c r="J135" s="15" t="e">
        <f t="shared" si="7"/>
        <v>#N/A</v>
      </c>
      <c r="K135" s="16" t="e">
        <f t="shared" si="8"/>
        <v>#N/A</v>
      </c>
      <c r="L135" s="15" t="e">
        <f t="shared" si="9"/>
        <v>#N/A</v>
      </c>
      <c r="M135" s="15" t="e">
        <f t="shared" si="10"/>
        <v>#N/A</v>
      </c>
      <c r="N135" s="15" t="e">
        <f t="shared" si="11"/>
        <v>#N/A</v>
      </c>
      <c r="O135" s="21">
        <v>0.133792030459098</v>
      </c>
      <c r="P135" s="21">
        <v>0.0545431344272197</v>
      </c>
      <c r="Q135" s="21">
        <v>0.0381664770146666</v>
      </c>
      <c r="R135" s="21">
        <v>0.0331247318910996</v>
      </c>
    </row>
    <row r="136" ht="14" hidden="1" spans="1:18">
      <c r="A136" s="2" t="s">
        <v>734</v>
      </c>
      <c r="B136" s="14" t="e">
        <f t="shared" si="0"/>
        <v>#N/A</v>
      </c>
      <c r="C136" s="15" t="e">
        <f t="shared" si="1"/>
        <v>#N/A</v>
      </c>
      <c r="D136" s="15" t="e">
        <f>CONCATENATE(ROUND(VLOOKUP($A136,$A$2:$V$110,5,FALSE),2),"; ",ROUND(VLOOKUP($A$116,$A22:$V$110,6,FALSE),2))</f>
        <v>#N/A</v>
      </c>
      <c r="E136" s="16" t="e">
        <f t="shared" si="2"/>
        <v>#N/A</v>
      </c>
      <c r="F136" s="15" t="e">
        <f t="shared" si="3"/>
        <v>#N/A</v>
      </c>
      <c r="G136" s="15" t="e">
        <f t="shared" si="4"/>
        <v>#N/A</v>
      </c>
      <c r="H136" s="14" t="e">
        <f t="shared" si="5"/>
        <v>#N/A</v>
      </c>
      <c r="I136" s="15" t="e">
        <f t="shared" si="6"/>
        <v>#N/A</v>
      </c>
      <c r="J136" s="15" t="e">
        <f t="shared" si="7"/>
        <v>#N/A</v>
      </c>
      <c r="K136" s="16" t="e">
        <f t="shared" si="8"/>
        <v>#N/A</v>
      </c>
      <c r="L136" s="15" t="e">
        <f t="shared" si="9"/>
        <v>#N/A</v>
      </c>
      <c r="M136" s="15" t="e">
        <f t="shared" si="10"/>
        <v>#N/A</v>
      </c>
      <c r="N136" s="15" t="e">
        <f t="shared" si="11"/>
        <v>#N/A</v>
      </c>
      <c r="O136" s="21">
        <v>0.25941551098027</v>
      </c>
      <c r="P136" s="21">
        <v>0.0141566740027868</v>
      </c>
      <c r="Q136" s="21">
        <v>0.00959197658381587</v>
      </c>
      <c r="R136" s="21">
        <v>0.0078355507744171</v>
      </c>
    </row>
    <row r="137" ht="14" hidden="1" spans="1:18">
      <c r="A137" s="2" t="s">
        <v>739</v>
      </c>
      <c r="B137" s="14" t="e">
        <f t="shared" si="0"/>
        <v>#N/A</v>
      </c>
      <c r="C137" s="15" t="e">
        <f t="shared" si="1"/>
        <v>#N/A</v>
      </c>
      <c r="D137" s="15" t="e">
        <f>CONCATENATE(ROUND(VLOOKUP($A137,$A$2:$V$110,5,FALSE),2),"; ",ROUND(VLOOKUP($A$116,$A23:$V$110,6,FALSE),2))</f>
        <v>#N/A</v>
      </c>
      <c r="E137" s="16" t="e">
        <f t="shared" si="2"/>
        <v>#N/A</v>
      </c>
      <c r="F137" s="15" t="e">
        <f t="shared" si="3"/>
        <v>#N/A</v>
      </c>
      <c r="G137" s="15" t="e">
        <f t="shared" si="4"/>
        <v>#N/A</v>
      </c>
      <c r="H137" s="14" t="e">
        <f t="shared" si="5"/>
        <v>#N/A</v>
      </c>
      <c r="I137" s="15" t="e">
        <f t="shared" si="6"/>
        <v>#N/A</v>
      </c>
      <c r="J137" s="15" t="e">
        <f t="shared" si="7"/>
        <v>#N/A</v>
      </c>
      <c r="K137" s="16" t="e">
        <f t="shared" si="8"/>
        <v>#N/A</v>
      </c>
      <c r="L137" s="15" t="e">
        <f t="shared" si="9"/>
        <v>#N/A</v>
      </c>
      <c r="M137" s="15" t="e">
        <f t="shared" si="10"/>
        <v>#N/A</v>
      </c>
      <c r="N137" s="15" t="e">
        <f t="shared" si="11"/>
        <v>#N/A</v>
      </c>
      <c r="O137" s="21">
        <v>0.181168589074583</v>
      </c>
      <c r="P137" s="21">
        <v>0.0199071458125193</v>
      </c>
      <c r="Q137" s="21">
        <v>0.0129566648963904</v>
      </c>
      <c r="R137" s="21">
        <v>0.0114526508864845</v>
      </c>
    </row>
    <row r="138" ht="14" hidden="1" spans="1:18">
      <c r="A138" s="2" t="s">
        <v>744</v>
      </c>
      <c r="B138" s="14" t="e">
        <f t="shared" si="0"/>
        <v>#N/A</v>
      </c>
      <c r="C138" s="15" t="e">
        <f t="shared" si="1"/>
        <v>#N/A</v>
      </c>
      <c r="D138" s="15" t="e">
        <f>CONCATENATE(ROUND(VLOOKUP($A138,$A$2:$V$110,5,FALSE),2),"; ",ROUND(VLOOKUP($A$116,$A24:$V$110,6,FALSE),2))</f>
        <v>#N/A</v>
      </c>
      <c r="E138" s="16" t="e">
        <f t="shared" si="2"/>
        <v>#N/A</v>
      </c>
      <c r="F138" s="15" t="e">
        <f t="shared" si="3"/>
        <v>#N/A</v>
      </c>
      <c r="G138" s="15" t="e">
        <f t="shared" si="4"/>
        <v>#N/A</v>
      </c>
      <c r="H138" s="14" t="e">
        <f t="shared" si="5"/>
        <v>#N/A</v>
      </c>
      <c r="I138" s="15" t="e">
        <f t="shared" si="6"/>
        <v>#N/A</v>
      </c>
      <c r="J138" s="15" t="e">
        <f t="shared" si="7"/>
        <v>#N/A</v>
      </c>
      <c r="K138" s="16" t="e">
        <f t="shared" si="8"/>
        <v>#N/A</v>
      </c>
      <c r="L138" s="15" t="e">
        <f t="shared" si="9"/>
        <v>#N/A</v>
      </c>
      <c r="M138" s="15" t="e">
        <f t="shared" si="10"/>
        <v>#N/A</v>
      </c>
      <c r="N138" s="15" t="e">
        <f t="shared" si="11"/>
        <v>#N/A</v>
      </c>
      <c r="O138" s="21">
        <v>0.884216850176303</v>
      </c>
      <c r="P138" s="21">
        <v>0.0439764437233288</v>
      </c>
      <c r="Q138" s="21">
        <v>0.0381664770146666</v>
      </c>
      <c r="R138" s="21">
        <v>0.0331247318910996</v>
      </c>
    </row>
    <row r="139" ht="14" spans="1:18">
      <c r="A139" s="2" t="s">
        <v>749</v>
      </c>
      <c r="B139" s="14">
        <f t="shared" si="0"/>
        <v>154</v>
      </c>
      <c r="C139" s="15" t="str">
        <f t="shared" si="1"/>
        <v>158,88 ± 77,63</v>
      </c>
      <c r="D139" s="15" t="str">
        <f>CONCATENATE(ROUND(VLOOKUP($A139,$A$2:$V$110,5,FALSE),2),"; ",ROUND(VLOOKUP($A$116,$A25:$V$110,6,FALSE),2))</f>
        <v>146,62; 0,45</v>
      </c>
      <c r="E139" s="16">
        <f t="shared" si="2"/>
        <v>158.75</v>
      </c>
      <c r="F139" s="15" t="str">
        <f t="shared" si="3"/>
        <v>101,08; 211,55</v>
      </c>
      <c r="G139" s="15" t="str">
        <f t="shared" si="4"/>
        <v>24,1; 322,45</v>
      </c>
      <c r="H139" s="14">
        <f t="shared" si="5"/>
        <v>155</v>
      </c>
      <c r="I139" s="15" t="str">
        <f t="shared" si="6"/>
        <v>139,27 ± 73,53</v>
      </c>
      <c r="J139" s="15" t="str">
        <f t="shared" si="7"/>
        <v>127,69; 150,85</v>
      </c>
      <c r="K139" s="16">
        <f t="shared" si="8"/>
        <v>128.7</v>
      </c>
      <c r="L139" s="15" t="str">
        <f t="shared" si="9"/>
        <v>79,6; 186,45</v>
      </c>
      <c r="M139" s="15" t="str">
        <f t="shared" si="10"/>
        <v>38,71; 286,28</v>
      </c>
      <c r="N139" s="15">
        <f t="shared" si="11"/>
        <v>0.0127197598162799</v>
      </c>
      <c r="O139" s="21">
        <v>0.581401756869269</v>
      </c>
      <c r="P139" s="21">
        <v>0.836686512569781</v>
      </c>
      <c r="Q139" s="21">
        <v>0.896235392697356</v>
      </c>
      <c r="R139" s="21">
        <v>0.867311805184066</v>
      </c>
    </row>
    <row r="140" ht="14" spans="1:18">
      <c r="A140" s="2" t="s">
        <v>754</v>
      </c>
      <c r="B140" s="14">
        <f t="shared" si="0"/>
        <v>156</v>
      </c>
      <c r="C140" s="15" t="str">
        <f t="shared" si="1"/>
        <v>3,55 ± 6,11</v>
      </c>
      <c r="D140" s="15" t="str">
        <f>CONCATENATE(ROUND(VLOOKUP($A140,$A$2:$V$110,5,FALSE),2),"; ",ROUND(VLOOKUP($A$116,$A26:$V$110,6,FALSE),2))</f>
        <v>2,6; 0,45</v>
      </c>
      <c r="E140" s="16">
        <f t="shared" si="2"/>
        <v>2</v>
      </c>
      <c r="F140" s="15" t="str">
        <f t="shared" si="3"/>
        <v>1,28; 3,43</v>
      </c>
      <c r="G140" s="15" t="str">
        <f t="shared" si="4"/>
        <v>0,33; 16,04</v>
      </c>
      <c r="H140" s="14">
        <f t="shared" si="5"/>
        <v>155</v>
      </c>
      <c r="I140" s="15" t="str">
        <f t="shared" si="6"/>
        <v>2,63 ± 2,43</v>
      </c>
      <c r="J140" s="15" t="str">
        <f t="shared" si="7"/>
        <v>2,25; 3,01</v>
      </c>
      <c r="K140" s="16">
        <f t="shared" si="8"/>
        <v>1.8</v>
      </c>
      <c r="L140" s="15" t="str">
        <f t="shared" si="9"/>
        <v>0,9; 3,48</v>
      </c>
      <c r="M140" s="15" t="str">
        <f t="shared" si="10"/>
        <v>0,43; 9,41</v>
      </c>
      <c r="N140" s="15">
        <f t="shared" si="11"/>
        <v>0.222530543284614</v>
      </c>
      <c r="O140" s="21">
        <v>0.0309900703816763</v>
      </c>
      <c r="P140" s="21">
        <v>0.067051153985066</v>
      </c>
      <c r="Q140" s="21">
        <v>0.0593224835027485</v>
      </c>
      <c r="R140" s="21">
        <v>0.0544319295972764</v>
      </c>
    </row>
    <row r="141" ht="14" spans="1:18">
      <c r="A141" s="2" t="s">
        <v>759</v>
      </c>
      <c r="B141" s="14">
        <f t="shared" si="0"/>
        <v>156</v>
      </c>
      <c r="C141" s="15" t="str">
        <f t="shared" si="1"/>
        <v>90,08 ± 24,71</v>
      </c>
      <c r="D141" s="15" t="str">
        <f>CONCATENATE(ROUND(VLOOKUP($A141,$A$2:$V$110,5,FALSE),2),"; ",ROUND(VLOOKUP($A$116,$A27:$V$110,6,FALSE),2))</f>
        <v>86,21; 0,45</v>
      </c>
      <c r="E141" s="16">
        <f t="shared" si="2"/>
        <v>86</v>
      </c>
      <c r="F141" s="15" t="str">
        <f t="shared" si="3"/>
        <v>81; 92,25</v>
      </c>
      <c r="G141" s="15" t="str">
        <f t="shared" si="4"/>
        <v>73,75; 133</v>
      </c>
      <c r="H141" s="14">
        <f t="shared" si="5"/>
        <v>155</v>
      </c>
      <c r="I141" s="15" t="str">
        <f t="shared" si="6"/>
        <v>88,48 ± 23,48</v>
      </c>
      <c r="J141" s="15" t="str">
        <f t="shared" si="7"/>
        <v>84,78; 92,17</v>
      </c>
      <c r="K141" s="16">
        <f t="shared" si="8"/>
        <v>85</v>
      </c>
      <c r="L141" s="15" t="str">
        <f t="shared" si="9"/>
        <v>80; 91</v>
      </c>
      <c r="M141" s="15" t="str">
        <f t="shared" si="10"/>
        <v>73; 113,6</v>
      </c>
      <c r="N141" s="15">
        <f t="shared" si="11"/>
        <v>0.173809448032495</v>
      </c>
      <c r="O141" s="21">
        <v>0.570533517119021</v>
      </c>
      <c r="P141" s="21">
        <v>0.221864962079489</v>
      </c>
      <c r="Q141" s="21">
        <v>0.171458601839437</v>
      </c>
      <c r="R141" s="21">
        <v>0.164485188529701</v>
      </c>
    </row>
    <row r="142" ht="14" spans="1:18">
      <c r="A142" s="2" t="s">
        <v>764</v>
      </c>
      <c r="B142" s="14">
        <f t="shared" si="0"/>
        <v>156</v>
      </c>
      <c r="C142" s="15" t="str">
        <f t="shared" si="1"/>
        <v>13,5 ± 8,38</v>
      </c>
      <c r="D142" s="15" t="str">
        <f>CONCATENATE(ROUND(VLOOKUP($A142,$A$2:$V$110,5,FALSE),2),"; ",ROUND(VLOOKUP($A$116,$A28:$V$110,6,FALSE),2))</f>
        <v>12,18; 0,45</v>
      </c>
      <c r="E142" s="16">
        <f t="shared" si="2"/>
        <v>11.52</v>
      </c>
      <c r="F142" s="15" t="str">
        <f t="shared" si="3"/>
        <v>7,64; 17,63</v>
      </c>
      <c r="G142" s="15" t="str">
        <f t="shared" si="4"/>
        <v>3,86; 33,58</v>
      </c>
      <c r="H142" s="14">
        <f t="shared" si="5"/>
        <v>155</v>
      </c>
      <c r="I142" s="15" t="str">
        <f t="shared" si="6"/>
        <v>12,63 ± 8,27</v>
      </c>
      <c r="J142" s="15" t="str">
        <f t="shared" si="7"/>
        <v>11,32; 13,93</v>
      </c>
      <c r="K142" s="16">
        <f t="shared" si="8"/>
        <v>10.17</v>
      </c>
      <c r="L142" s="15" t="str">
        <f t="shared" si="9"/>
        <v>7,46; 15,67</v>
      </c>
      <c r="M142" s="15" t="str">
        <f t="shared" si="10"/>
        <v>3,28; 33,91</v>
      </c>
      <c r="N142" s="15">
        <f t="shared" si="11"/>
        <v>0.174963228773402</v>
      </c>
      <c r="O142" s="21">
        <v>0.0846561592868237</v>
      </c>
      <c r="P142" s="21">
        <v>0.166938536191</v>
      </c>
      <c r="Q142" s="21">
        <v>0.128244518523812</v>
      </c>
      <c r="R142" s="21">
        <v>0.130497179372485</v>
      </c>
    </row>
    <row r="143" ht="14" spans="1:18">
      <c r="A143" s="2" t="s">
        <v>769</v>
      </c>
      <c r="B143" s="14">
        <f t="shared" si="0"/>
        <v>156</v>
      </c>
      <c r="C143" s="15" t="str">
        <f t="shared" si="1"/>
        <v>5,54 ± 0,75</v>
      </c>
      <c r="D143" s="15" t="str">
        <f>CONCATENATE(ROUND(VLOOKUP($A143,$A$2:$V$110,5,FALSE),2),"; ",ROUND(VLOOKUP($A$116,$A29:$V$110,6,FALSE),2))</f>
        <v>5,43; 0,45</v>
      </c>
      <c r="E143" s="16">
        <f t="shared" si="2"/>
        <v>5.47</v>
      </c>
      <c r="F143" s="15" t="str">
        <f t="shared" si="3"/>
        <v>5,22; 5,7</v>
      </c>
      <c r="G143" s="15" t="str">
        <f t="shared" si="4"/>
        <v>4,8; 6,71</v>
      </c>
      <c r="H143" s="14">
        <f t="shared" si="5"/>
        <v>155</v>
      </c>
      <c r="I143" s="15" t="str">
        <f t="shared" si="6"/>
        <v>5,58 ± 0,59</v>
      </c>
      <c r="J143" s="15" t="str">
        <f t="shared" si="7"/>
        <v>5,48; 5,67</v>
      </c>
      <c r="K143" s="16">
        <f t="shared" si="8"/>
        <v>5.5</v>
      </c>
      <c r="L143" s="15" t="str">
        <f t="shared" si="9"/>
        <v>5,2; 5,8</v>
      </c>
      <c r="M143" s="15" t="str">
        <f t="shared" si="10"/>
        <v>4,9; 6,82</v>
      </c>
      <c r="N143" s="15">
        <f t="shared" si="11"/>
        <v>0.22101356782231</v>
      </c>
      <c r="O143" s="21">
        <v>0.844522697260222</v>
      </c>
      <c r="P143" s="21">
        <v>0.649878605754936</v>
      </c>
      <c r="Q143" s="21">
        <v>0.564534289003122</v>
      </c>
      <c r="R143" s="21">
        <v>0.553924590545117</v>
      </c>
    </row>
    <row r="144" ht="14" spans="1:18">
      <c r="A144" s="2" t="s">
        <v>408</v>
      </c>
      <c r="B144" s="14">
        <f t="shared" si="0"/>
        <v>156</v>
      </c>
      <c r="C144" s="15" t="str">
        <f t="shared" si="1"/>
        <v>234,9 ± 323,06</v>
      </c>
      <c r="D144" s="15" t="str">
        <f>CONCATENATE(ROUND(VLOOKUP($A144,$A$2:$V$110,5,FALSE),2),"; ",ROUND(VLOOKUP($A$116,$A30:$V$110,6,FALSE),2))</f>
        <v>184,21; 0,45</v>
      </c>
      <c r="E144" s="16">
        <f t="shared" si="2"/>
        <v>184.23</v>
      </c>
      <c r="F144" s="15" t="str">
        <f t="shared" si="3"/>
        <v>119,97; 262,67</v>
      </c>
      <c r="G144" s="15" t="str">
        <f t="shared" si="4"/>
        <v>49,14; 579,86</v>
      </c>
      <c r="H144" s="14">
        <f t="shared" si="5"/>
        <v>155</v>
      </c>
      <c r="I144" s="15" t="str">
        <f t="shared" si="6"/>
        <v>235,34 ± 298,63</v>
      </c>
      <c r="J144" s="15" t="str">
        <f t="shared" si="7"/>
        <v>188,33; 282,36</v>
      </c>
      <c r="K144" s="16">
        <f t="shared" si="8"/>
        <v>177.66</v>
      </c>
      <c r="L144" s="15" t="str">
        <f t="shared" si="9"/>
        <v>115,75; 258,97</v>
      </c>
      <c r="M144" s="15" t="str">
        <f t="shared" si="10"/>
        <v>42,59; 647,31</v>
      </c>
      <c r="N144" s="15">
        <f t="shared" si="11"/>
        <v>0.744408307731106</v>
      </c>
      <c r="O144" s="21"/>
      <c r="P144" s="21"/>
      <c r="Q144" s="21"/>
      <c r="R144" s="21"/>
    </row>
    <row r="145" ht="14" spans="1:18">
      <c r="A145" s="2" t="s">
        <v>415</v>
      </c>
      <c r="B145" s="14">
        <f t="shared" si="0"/>
        <v>156</v>
      </c>
      <c r="C145" s="15" t="str">
        <f t="shared" si="1"/>
        <v>47,73 ± 29,62</v>
      </c>
      <c r="D145" s="15" t="str">
        <f>CONCATENATE(ROUND(VLOOKUP($A145,$A$2:$V$110,5,FALSE),2),"; ",ROUND(VLOOKUP($A$116,$A31:$V$110,6,FALSE),2))</f>
        <v>43,09; 0,45</v>
      </c>
      <c r="E145" s="16">
        <f t="shared" si="2"/>
        <v>42.75</v>
      </c>
      <c r="F145" s="15" t="str">
        <f t="shared" si="3"/>
        <v>26,11; 62,08</v>
      </c>
      <c r="G145" s="15" t="str">
        <f t="shared" si="4"/>
        <v>13,29; 131,65</v>
      </c>
      <c r="H145" s="14">
        <f t="shared" si="5"/>
        <v>155</v>
      </c>
      <c r="I145" s="15" t="str">
        <f t="shared" si="6"/>
        <v>54,77 ± 38,5</v>
      </c>
      <c r="J145" s="15" t="str">
        <f t="shared" si="7"/>
        <v>48,71; 60,83</v>
      </c>
      <c r="K145" s="16">
        <f t="shared" si="8"/>
        <v>48.21</v>
      </c>
      <c r="L145" s="15" t="str">
        <f t="shared" si="9"/>
        <v>28,22; 63,64</v>
      </c>
      <c r="M145" s="15" t="str">
        <f t="shared" si="10"/>
        <v>10,6; 156,19</v>
      </c>
      <c r="N145" s="15">
        <f t="shared" si="11"/>
        <v>0.128256695616639</v>
      </c>
      <c r="O145" s="21"/>
      <c r="P145" s="21"/>
      <c r="Q145" s="21"/>
      <c r="R145" s="21"/>
    </row>
    <row r="146" ht="14" spans="1:18">
      <c r="A146" s="2" t="s">
        <v>74</v>
      </c>
      <c r="B146" s="14">
        <f t="shared" si="0"/>
        <v>156</v>
      </c>
      <c r="C146" s="15" t="str">
        <f t="shared" si="1"/>
        <v>3,22 ± 4,03</v>
      </c>
      <c r="D146" s="15" t="str">
        <f>CONCATENATE(ROUND(VLOOKUP($A146,$A$2:$V$110,5,FALSE),2),"; ",ROUND(VLOOKUP($A$116,$A32:$V$110,6,FALSE),2))</f>
        <v>2,59; 0,45</v>
      </c>
      <c r="E146" s="16">
        <f t="shared" si="2"/>
        <v>2.34</v>
      </c>
      <c r="F146" s="15" t="str">
        <f t="shared" si="3"/>
        <v>1,61; 3,83</v>
      </c>
      <c r="G146" s="15" t="str">
        <f t="shared" si="4"/>
        <v>0,76; 7,53</v>
      </c>
      <c r="H146" s="14">
        <f t="shared" si="5"/>
        <v>155</v>
      </c>
      <c r="I146" s="15" t="str">
        <f t="shared" si="6"/>
        <v>2,83 ± 2,15</v>
      </c>
      <c r="J146" s="15" t="str">
        <f t="shared" si="7"/>
        <v>2,49; 3,17</v>
      </c>
      <c r="K146" s="16">
        <f t="shared" si="8"/>
        <v>2.07</v>
      </c>
      <c r="L146" s="15" t="str">
        <f t="shared" si="9"/>
        <v>1,57; 3,55</v>
      </c>
      <c r="M146" s="15" t="str">
        <f t="shared" si="10"/>
        <v>0,64; 9,45</v>
      </c>
      <c r="N146" s="15">
        <f t="shared" si="11"/>
        <v>0.129204584884442</v>
      </c>
      <c r="O146" s="21">
        <v>0.0849157320550605</v>
      </c>
      <c r="P146" s="21">
        <v>0.127660619187003</v>
      </c>
      <c r="Q146" s="21">
        <v>0.0908751101248857</v>
      </c>
      <c r="R146" s="21">
        <v>0.0889475125376911</v>
      </c>
    </row>
    <row r="147" ht="14" spans="1:18">
      <c r="A147" s="2" t="s">
        <v>428</v>
      </c>
      <c r="B147" s="14">
        <f t="shared" si="0"/>
        <v>156</v>
      </c>
      <c r="C147" s="15" t="str">
        <f t="shared" si="1"/>
        <v>0,33 ± 0,03</v>
      </c>
      <c r="D147" s="15" t="str">
        <f>CONCATENATE(ROUND(VLOOKUP($A147,$A$2:$V$110,5,FALSE),2),"; ",ROUND(VLOOKUP($A$116,$A33:$V$110,6,FALSE),2))</f>
        <v>0,33; 0,45</v>
      </c>
      <c r="E147" s="16">
        <f t="shared" si="2"/>
        <v>0.34</v>
      </c>
      <c r="F147" s="15" t="str">
        <f t="shared" si="3"/>
        <v>0,31; 0,35</v>
      </c>
      <c r="G147" s="15" t="str">
        <f t="shared" si="4"/>
        <v>0,29; 0,4</v>
      </c>
      <c r="H147" s="14">
        <f t="shared" si="5"/>
        <v>155</v>
      </c>
      <c r="I147" s="15" t="str">
        <f t="shared" si="6"/>
        <v>0,34 ± 0,03</v>
      </c>
      <c r="J147" s="15" t="str">
        <f t="shared" si="7"/>
        <v>0,34; 0,35</v>
      </c>
      <c r="K147" s="16">
        <f t="shared" si="8"/>
        <v>0.34</v>
      </c>
      <c r="L147" s="15" t="str">
        <f t="shared" si="9"/>
        <v>0,32; 0,36</v>
      </c>
      <c r="M147" s="15" t="str">
        <f t="shared" si="10"/>
        <v>0,28; 0,41</v>
      </c>
      <c r="N147" s="15">
        <f t="shared" si="11"/>
        <v>0.100719539086469</v>
      </c>
      <c r="O147" s="21"/>
      <c r="P147" s="21"/>
      <c r="Q147" s="21"/>
      <c r="R147" s="21"/>
    </row>
    <row r="148" ht="14" spans="1:18">
      <c r="A148" s="2" t="s">
        <v>790</v>
      </c>
      <c r="B148" s="14">
        <f t="shared" si="0"/>
        <v>156</v>
      </c>
      <c r="C148" s="15" t="str">
        <f t="shared" si="1"/>
        <v>122,5 ± 17,45</v>
      </c>
      <c r="D148" s="15" t="str">
        <f>CONCATENATE(ROUND(VLOOKUP($A148,$A$2:$V$110,5,FALSE),2),"; ",ROUND(VLOOKUP($A$116,$A34:$V$110,6,FALSE),2))</f>
        <v>119,76; 0,45</v>
      </c>
      <c r="E148" s="16">
        <f t="shared" si="2"/>
        <v>121</v>
      </c>
      <c r="F148" s="15" t="str">
        <f t="shared" si="3"/>
        <v>109; 134</v>
      </c>
      <c r="G148" s="15" t="str">
        <f t="shared" si="4"/>
        <v>94,88; 160</v>
      </c>
      <c r="H148" s="14">
        <f t="shared" si="5"/>
        <v>154</v>
      </c>
      <c r="I148" s="15" t="str">
        <f t="shared" si="6"/>
        <v>125,31 ± 20,19</v>
      </c>
      <c r="J148" s="15" t="str">
        <f t="shared" si="7"/>
        <v>122,12; 128,5</v>
      </c>
      <c r="K148" s="16">
        <f t="shared" si="8"/>
        <v>123.5</v>
      </c>
      <c r="L148" s="15" t="str">
        <f t="shared" si="9"/>
        <v>112,25; 135</v>
      </c>
      <c r="M148" s="15" t="str">
        <f t="shared" si="10"/>
        <v>93,83; 169,7</v>
      </c>
      <c r="N148" s="15">
        <f t="shared" si="11"/>
        <v>0.32967824842341</v>
      </c>
      <c r="O148" s="21">
        <v>0.380813732079838</v>
      </c>
      <c r="P148" s="21">
        <v>0.784397937675051</v>
      </c>
      <c r="Q148" s="21">
        <v>0.70139941993557</v>
      </c>
      <c r="R148" s="21">
        <v>0.70651542503674</v>
      </c>
    </row>
    <row r="149" ht="14" spans="1:18">
      <c r="A149" s="2" t="s">
        <v>795</v>
      </c>
      <c r="B149" s="14">
        <f t="shared" si="0"/>
        <v>156</v>
      </c>
      <c r="C149" s="15" t="str">
        <f t="shared" si="1"/>
        <v>79,13 ± 11,6</v>
      </c>
      <c r="D149" s="15" t="str">
        <f>CONCATENATE(ROUND(VLOOKUP($A149,$A$2:$V$110,5,FALSE),2),"; ",ROUND(VLOOKUP($A$116,$A35:$V$110,6,FALSE),2))</f>
        <v>77,31; 0,45</v>
      </c>
      <c r="E149" s="16">
        <f t="shared" si="2"/>
        <v>78</v>
      </c>
      <c r="F149" s="15" t="str">
        <f t="shared" si="3"/>
        <v>70; 87,25</v>
      </c>
      <c r="G149" s="15" t="str">
        <f t="shared" si="4"/>
        <v>59; 103</v>
      </c>
      <c r="H149" s="14">
        <f t="shared" si="5"/>
        <v>155</v>
      </c>
      <c r="I149" s="15" t="str">
        <f t="shared" si="6"/>
        <v>80,74 ± 12,83</v>
      </c>
      <c r="J149" s="15" t="str">
        <f t="shared" si="7"/>
        <v>78,72; 82,76</v>
      </c>
      <c r="K149" s="16">
        <f t="shared" si="8"/>
        <v>80</v>
      </c>
      <c r="L149" s="15" t="str">
        <f t="shared" si="9"/>
        <v>71; 87</v>
      </c>
      <c r="M149" s="15" t="str">
        <f t="shared" si="10"/>
        <v>58,7; 104,3</v>
      </c>
      <c r="N149" s="15">
        <f t="shared" si="11"/>
        <v>0.272627123311822</v>
      </c>
      <c r="O149" s="21">
        <v>0.528223233020475</v>
      </c>
      <c r="P149" s="21">
        <v>0.79226701888683</v>
      </c>
      <c r="Q149" s="21">
        <v>0.723424679165838</v>
      </c>
      <c r="R149" s="21">
        <v>0.708856788018004</v>
      </c>
    </row>
    <row r="150" ht="14" spans="1:18">
      <c r="A150" s="2" t="s">
        <v>449</v>
      </c>
      <c r="B150" s="14"/>
      <c r="C150" s="15"/>
      <c r="D150" s="15"/>
      <c r="E150" s="16"/>
      <c r="F150" s="15"/>
      <c r="G150" s="15"/>
      <c r="H150" s="14"/>
      <c r="I150" s="16"/>
      <c r="J150" s="15"/>
      <c r="K150" s="16"/>
      <c r="L150" s="15"/>
      <c r="M150" s="15"/>
      <c r="N150" s="15"/>
      <c r="O150" s="21"/>
      <c r="P150" s="21"/>
      <c r="Q150" s="21"/>
      <c r="R150" s="21"/>
    </row>
    <row r="151" ht="14" spans="1:18">
      <c r="A151" s="4" t="s">
        <v>450</v>
      </c>
      <c r="B151" s="14">
        <f t="shared" ref="B151:B170" si="12">VLOOKUP($A151,$A$2:$V$110,2,FALSE)</f>
        <v>156</v>
      </c>
      <c r="C151" s="15" t="str">
        <f t="shared" ref="C151:C170" si="13">CONCATENATE(ROUND(VLOOKUP($A151,$A$2:$V$110,3,FALSE),2)," ± ",ROUND(VLOOKUP($A151,$A$2:$V$110,4,FALSE),2))</f>
        <v>1912,76 ± 224,24</v>
      </c>
      <c r="D151" s="15" t="str">
        <f>CONCATENATE(ROUND(VLOOKUP($A151,$A$2:$V$110,5,FALSE),2),"; ",ROUND(VLOOKUP($A$116,$A37:$V$110,6,FALSE),2))</f>
        <v>1877,57; 0,45</v>
      </c>
      <c r="E151" s="16">
        <f t="shared" ref="E151:E170" si="14">ROUND(VLOOKUP($A151,$A$2:$V$110,7,FALSE),2)</f>
        <v>1881.19</v>
      </c>
      <c r="F151" s="15" t="str">
        <f t="shared" ref="F151:F170" si="15">CONCATENATE(ROUND(VLOOKUP($A151,$A$2:$V$110,8,FALSE),2),"; ",ROUND(VLOOKUP($A151,$A$2:$V$110,9,FALSE),2))</f>
        <v>1725,77; 2066,97</v>
      </c>
      <c r="G151" s="15" t="str">
        <f t="shared" ref="G151:G170" si="16">CONCATENATE(ROUND(VLOOKUP($A151,$A$2:$V$110,10,FALSE),2),"; ",ROUND(VLOOKUP($A151,$A$2:$V$110,11,FALSE),2))</f>
        <v>1594,85; 2357,22</v>
      </c>
      <c r="H151" s="14">
        <f t="shared" ref="H151:H170" si="17">VLOOKUP($A151,$A$2:$V$110,12,FALSE)</f>
        <v>155</v>
      </c>
      <c r="I151" s="16">
        <f t="shared" ref="I151:I170" si="18">VLOOKUP($A151,$A$2:$V$110,13,FALSE)</f>
        <v>2000.61690322581</v>
      </c>
      <c r="J151" s="15" t="str">
        <f t="shared" ref="J151:J170" si="19">CONCATENATE(ROUND(VLOOKUP($A151,$A$2:$V$110,15,FALSE),2),"; ",ROUND(VLOOKUP($A151,$A$2:$V$110,16,FALSE),2))</f>
        <v>1964,4; 2036,83</v>
      </c>
      <c r="K151" s="16">
        <f t="shared" ref="K151:K170" si="20">VLOOKUP($A151,$A$2:$V$110,17,FALSE)</f>
        <v>1986.28</v>
      </c>
      <c r="L151" s="15" t="str">
        <f t="shared" ref="L151:L170" si="21">CONCATENATE(ROUND(VLOOKUP($A151,$A$2:$V$110,18,FALSE),2),"; ",ROUND(VLOOKUP($A151,$A$2:$V$110,19,FALSE),2))</f>
        <v>1800,16; 2206,58</v>
      </c>
      <c r="M151" s="15" t="str">
        <f t="shared" ref="M151:M170" si="22">CONCATENATE(ROUND(VLOOKUP($A151,$A$2:$V$110,20,FALSE),2),"; ",ROUND(VLOOKUP($A151,$A$2:$V$110,21,FALSE),2))</f>
        <v>1649,49; 2385,88</v>
      </c>
      <c r="N151" s="15">
        <f t="shared" ref="N151:N170" si="23">VLOOKUP($A151,$A$2:$V$110,22,FALSE)</f>
        <v>0.000767490873450665</v>
      </c>
      <c r="O151" s="21"/>
      <c r="P151" s="21"/>
      <c r="Q151" s="21"/>
      <c r="R151" s="21"/>
    </row>
    <row r="152" ht="14" spans="1:18">
      <c r="A152" s="4" t="s">
        <v>457</v>
      </c>
      <c r="B152" s="14">
        <f t="shared" si="12"/>
        <v>156</v>
      </c>
      <c r="C152" s="15" t="str">
        <f t="shared" si="13"/>
        <v>15,44 ± 3,57</v>
      </c>
      <c r="D152" s="15" t="str">
        <f>CONCATENATE(ROUND(VLOOKUP($A152,$A$2:$V$110,5,FALSE),2),"; ",ROUND(VLOOKUP($A$116,$A38:$V$110,6,FALSE),2))</f>
        <v>14,88; 0,45</v>
      </c>
      <c r="E152" s="16">
        <f t="shared" si="14"/>
        <v>14.83</v>
      </c>
      <c r="F152" s="15" t="str">
        <f t="shared" si="15"/>
        <v>13,02; 17,3</v>
      </c>
      <c r="G152" s="15" t="str">
        <f t="shared" si="16"/>
        <v>10,01; 24,61</v>
      </c>
      <c r="H152" s="14">
        <f t="shared" si="17"/>
        <v>155</v>
      </c>
      <c r="I152" s="16">
        <f t="shared" si="18"/>
        <v>20.2523870967742</v>
      </c>
      <c r="J152" s="15" t="str">
        <f t="shared" si="19"/>
        <v>19,62; 20,88</v>
      </c>
      <c r="K152" s="16">
        <f t="shared" si="20"/>
        <v>19.71</v>
      </c>
      <c r="L152" s="15" t="str">
        <f t="shared" si="21"/>
        <v>17,49; 22,3</v>
      </c>
      <c r="M152" s="15" t="str">
        <f t="shared" si="22"/>
        <v>13,8; 28,98</v>
      </c>
      <c r="N152" s="15">
        <f t="shared" si="23"/>
        <v>7.2523056414934e-24</v>
      </c>
      <c r="O152" s="21">
        <v>9.30936369603001e-25</v>
      </c>
      <c r="P152" s="21">
        <v>6.71450570788141e-23</v>
      </c>
      <c r="Q152" s="21">
        <v>7.05615921685785e-23</v>
      </c>
      <c r="R152" s="21">
        <v>1.18577712733992e-22</v>
      </c>
    </row>
    <row r="153" ht="14" spans="1:18">
      <c r="A153" s="4" t="s">
        <v>464</v>
      </c>
      <c r="B153" s="14">
        <f t="shared" si="12"/>
        <v>156</v>
      </c>
      <c r="C153" s="15" t="str">
        <f t="shared" si="13"/>
        <v>597,46 ± 222,34</v>
      </c>
      <c r="D153" s="15" t="str">
        <f>CONCATENATE(ROUND(VLOOKUP($A153,$A$2:$V$110,5,FALSE),2),"; ",ROUND(VLOOKUP($A$116,$A39:$V$110,6,FALSE),2))</f>
        <v>562,57; 0,45</v>
      </c>
      <c r="E153" s="16">
        <f t="shared" si="14"/>
        <v>578.86</v>
      </c>
      <c r="F153" s="15" t="str">
        <f t="shared" si="15"/>
        <v>423,59; 728,66</v>
      </c>
      <c r="G153" s="15" t="str">
        <f t="shared" si="16"/>
        <v>267,07; 1116,11</v>
      </c>
      <c r="H153" s="14">
        <f t="shared" si="17"/>
        <v>155</v>
      </c>
      <c r="I153" s="16">
        <f t="shared" si="18"/>
        <v>668.409612903226</v>
      </c>
      <c r="J153" s="15" t="str">
        <f t="shared" si="19"/>
        <v>635,98; 700,84</v>
      </c>
      <c r="K153" s="16">
        <f t="shared" si="20"/>
        <v>651.31</v>
      </c>
      <c r="L153" s="15" t="str">
        <f t="shared" si="21"/>
        <v>513,55; 795,4</v>
      </c>
      <c r="M153" s="15" t="str">
        <f t="shared" si="22"/>
        <v>316,52; 1110,07</v>
      </c>
      <c r="N153" s="15">
        <f t="shared" si="23"/>
        <v>0.00160899960111323</v>
      </c>
      <c r="O153" s="21">
        <v>0.00123995960791299</v>
      </c>
      <c r="P153" s="21">
        <v>0.000703648592756606</v>
      </c>
      <c r="Q153" s="21">
        <v>0.00114246008773668</v>
      </c>
      <c r="R153" s="21">
        <v>0.00104748871938323</v>
      </c>
    </row>
    <row r="154" ht="14" spans="1:18">
      <c r="A154" s="4" t="s">
        <v>471</v>
      </c>
      <c r="B154" s="14">
        <f t="shared" si="12"/>
        <v>156</v>
      </c>
      <c r="C154" s="15" t="str">
        <f t="shared" si="13"/>
        <v>992,2 ± 177,65</v>
      </c>
      <c r="D154" s="15" t="str">
        <f>CONCATENATE(ROUND(VLOOKUP($A154,$A$2:$V$110,5,FALSE),2),"; ",ROUND(VLOOKUP($A$116,$A40:$V$110,6,FALSE),2))</f>
        <v>964,32; 0,45</v>
      </c>
      <c r="E154" s="16">
        <f t="shared" si="14"/>
        <v>987.67</v>
      </c>
      <c r="F154" s="15" t="str">
        <f t="shared" si="15"/>
        <v>862,56; 1103,76</v>
      </c>
      <c r="G154" s="15" t="str">
        <f t="shared" si="16"/>
        <v>655,42; 1356,2</v>
      </c>
      <c r="H154" s="14">
        <f t="shared" si="17"/>
        <v>155</v>
      </c>
      <c r="I154" s="16">
        <f t="shared" si="18"/>
        <v>1078.1184516129</v>
      </c>
      <c r="J154" s="15" t="str">
        <f t="shared" si="19"/>
        <v>1052,25; 1103,99</v>
      </c>
      <c r="K154" s="16">
        <f t="shared" si="20"/>
        <v>1078.31</v>
      </c>
      <c r="L154" s="15" t="str">
        <f t="shared" si="21"/>
        <v>960,68; 1167,68</v>
      </c>
      <c r="M154" s="15" t="str">
        <f t="shared" si="22"/>
        <v>783,87; 1428,05</v>
      </c>
      <c r="N154" s="15">
        <f t="shared" si="23"/>
        <v>3.21667831155394e-5</v>
      </c>
      <c r="O154" s="21">
        <v>1.60602099391439e-5</v>
      </c>
      <c r="P154" s="21">
        <v>1.47775593426032e-5</v>
      </c>
      <c r="Q154" s="21">
        <v>2.49238015517401e-5</v>
      </c>
      <c r="R154" s="21">
        <v>2.56340524641038e-5</v>
      </c>
    </row>
    <row r="155" ht="14" spans="1:18">
      <c r="A155" s="4" t="s">
        <v>478</v>
      </c>
      <c r="B155" s="14">
        <f t="shared" si="12"/>
        <v>156</v>
      </c>
      <c r="C155" s="15" t="str">
        <f t="shared" si="13"/>
        <v>12,8 ± 1,42</v>
      </c>
      <c r="D155" s="15" t="str">
        <f>CONCATENATE(ROUND(VLOOKUP($A155,$A$2:$V$110,5,FALSE),2),"; ",ROUND(VLOOKUP($A$116,$A41:$V$110,6,FALSE),2))</f>
        <v>12,58; 0,45</v>
      </c>
      <c r="E155" s="16">
        <f t="shared" si="14"/>
        <v>12.71</v>
      </c>
      <c r="F155" s="15" t="str">
        <f t="shared" si="15"/>
        <v>11,7; 13,73</v>
      </c>
      <c r="G155" s="15" t="str">
        <f t="shared" si="16"/>
        <v>10,61; 15,4</v>
      </c>
      <c r="H155" s="14">
        <f t="shared" si="17"/>
        <v>155</v>
      </c>
      <c r="I155" s="16">
        <f t="shared" si="18"/>
        <v>14.2447741935484</v>
      </c>
      <c r="J155" s="15" t="str">
        <f t="shared" si="19"/>
        <v>13,99; 14,5</v>
      </c>
      <c r="K155" s="16">
        <f t="shared" si="20"/>
        <v>14.18</v>
      </c>
      <c r="L155" s="15" t="str">
        <f t="shared" si="21"/>
        <v>13,27; 15,29</v>
      </c>
      <c r="M155" s="15" t="str">
        <f t="shared" si="22"/>
        <v>11,45; 17,63</v>
      </c>
      <c r="N155" s="15">
        <f t="shared" si="23"/>
        <v>6.42147432275336e-14</v>
      </c>
      <c r="O155" s="21">
        <v>2.84457189539944e-13</v>
      </c>
      <c r="P155" s="21">
        <v>8.03873471499001e-12</v>
      </c>
      <c r="Q155" s="21">
        <v>6.86109103345645e-12</v>
      </c>
      <c r="R155" s="21">
        <v>8.4369205436447e-12</v>
      </c>
    </row>
    <row r="156" ht="14" spans="1:18">
      <c r="A156" s="4" t="s">
        <v>485</v>
      </c>
      <c r="B156" s="14">
        <f t="shared" si="12"/>
        <v>156</v>
      </c>
      <c r="C156" s="15" t="str">
        <f t="shared" si="13"/>
        <v>1265,32 ± 321,66</v>
      </c>
      <c r="D156" s="15" t="str">
        <f>CONCATENATE(ROUND(VLOOKUP($A156,$A$2:$V$110,5,FALSE),2),"; ",ROUND(VLOOKUP($A$116,$A42:$V$110,6,FALSE),2))</f>
        <v>1214,85; 0,45</v>
      </c>
      <c r="E156" s="16">
        <f t="shared" si="14"/>
        <v>1258.62</v>
      </c>
      <c r="F156" s="15" t="str">
        <f t="shared" si="15"/>
        <v>1030,04; 1447,85</v>
      </c>
      <c r="G156" s="15" t="str">
        <f t="shared" si="16"/>
        <v>706,75; 2025,83</v>
      </c>
      <c r="H156" s="14">
        <f t="shared" si="17"/>
        <v>155</v>
      </c>
      <c r="I156" s="16">
        <f t="shared" si="18"/>
        <v>1305.56064516129</v>
      </c>
      <c r="J156" s="15" t="str">
        <f t="shared" si="19"/>
        <v>1260,52; 1350,6</v>
      </c>
      <c r="K156" s="16">
        <f t="shared" si="20"/>
        <v>1283.07</v>
      </c>
      <c r="L156" s="15" t="str">
        <f t="shared" si="21"/>
        <v>1122,15; 1543,02</v>
      </c>
      <c r="M156" s="15" t="str">
        <f t="shared" si="22"/>
        <v>821,35; 1835,38</v>
      </c>
      <c r="N156" s="15">
        <f t="shared" si="23"/>
        <v>0.233324986275787</v>
      </c>
      <c r="O156" s="21">
        <v>0.553081178036484</v>
      </c>
      <c r="P156" s="21">
        <v>0.239200464846778</v>
      </c>
      <c r="Q156" s="21">
        <v>0.253308996493694</v>
      </c>
      <c r="R156" s="21">
        <v>0.247422927136004</v>
      </c>
    </row>
    <row r="157" ht="14" spans="1:18">
      <c r="A157" s="4" t="s">
        <v>492</v>
      </c>
      <c r="B157" s="14">
        <f t="shared" si="12"/>
        <v>156</v>
      </c>
      <c r="C157" s="15" t="str">
        <f t="shared" si="13"/>
        <v>2798,64 ± 600,93</v>
      </c>
      <c r="D157" s="15" t="str">
        <f>CONCATENATE(ROUND(VLOOKUP($A157,$A$2:$V$110,5,FALSE),2),"; ",ROUND(VLOOKUP($A$116,$A43:$V$110,6,FALSE),2))</f>
        <v>2704,34; 0,45</v>
      </c>
      <c r="E157" s="16">
        <f t="shared" si="14"/>
        <v>2768.44</v>
      </c>
      <c r="F157" s="15" t="str">
        <f t="shared" si="15"/>
        <v>2423,63; 3161,74</v>
      </c>
      <c r="G157" s="15" t="str">
        <f t="shared" si="16"/>
        <v>1710,06; 4047,49</v>
      </c>
      <c r="H157" s="14">
        <f t="shared" si="17"/>
        <v>155</v>
      </c>
      <c r="I157" s="16">
        <f t="shared" si="18"/>
        <v>3360.89032258065</v>
      </c>
      <c r="J157" s="15" t="str">
        <f t="shared" si="19"/>
        <v>3269,2; 3452,58</v>
      </c>
      <c r="K157" s="16">
        <f t="shared" si="20"/>
        <v>3304.95</v>
      </c>
      <c r="L157" s="15" t="str">
        <f t="shared" si="21"/>
        <v>2936,07; 3746,26</v>
      </c>
      <c r="M157" s="15" t="str">
        <f t="shared" si="22"/>
        <v>2399,88; 4549,9</v>
      </c>
      <c r="N157" s="15">
        <f t="shared" si="23"/>
        <v>9.74577543737512e-15</v>
      </c>
      <c r="O157" s="21">
        <v>1.25871444825856e-15</v>
      </c>
      <c r="P157" s="21">
        <v>2.82530149901314e-14</v>
      </c>
      <c r="Q157" s="21">
        <v>4.0227065827142e-14</v>
      </c>
      <c r="R157" s="21">
        <v>2.77017468621166e-14</v>
      </c>
    </row>
    <row r="158" ht="14" spans="1:18">
      <c r="A158" s="4" t="s">
        <v>499</v>
      </c>
      <c r="B158" s="14">
        <f t="shared" si="12"/>
        <v>156</v>
      </c>
      <c r="C158" s="15" t="str">
        <f t="shared" si="13"/>
        <v>221,9 ± 32,92</v>
      </c>
      <c r="D158" s="15" t="str">
        <f>CONCATENATE(ROUND(VLOOKUP($A158,$A$2:$V$110,5,FALSE),2),"; ",ROUND(VLOOKUP($A$116,$A44:$V$110,6,FALSE),2))</f>
        <v>216,73; 0,45</v>
      </c>
      <c r="E158" s="16">
        <f t="shared" si="14"/>
        <v>220.66</v>
      </c>
      <c r="F158" s="15" t="str">
        <f t="shared" si="15"/>
        <v>196,6; 244,14</v>
      </c>
      <c r="G158" s="15" t="str">
        <f t="shared" si="16"/>
        <v>167,45; 290,75</v>
      </c>
      <c r="H158" s="14">
        <f t="shared" si="17"/>
        <v>155</v>
      </c>
      <c r="I158" s="16">
        <f t="shared" si="18"/>
        <v>262.756580645161</v>
      </c>
      <c r="J158" s="15" t="str">
        <f t="shared" si="19"/>
        <v>255,95; 269,56</v>
      </c>
      <c r="K158" s="16">
        <f t="shared" si="20"/>
        <v>254.42</v>
      </c>
      <c r="L158" s="15" t="str">
        <f t="shared" si="21"/>
        <v>236,62; 282,9</v>
      </c>
      <c r="M158" s="15" t="str">
        <f t="shared" si="22"/>
        <v>198,87; 371,95</v>
      </c>
      <c r="N158" s="15">
        <f t="shared" si="23"/>
        <v>1.06468978931696e-17</v>
      </c>
      <c r="O158" s="21">
        <v>8.80677977185743e-18</v>
      </c>
      <c r="P158" s="21">
        <v>9.53411448811518e-17</v>
      </c>
      <c r="Q158" s="21">
        <v>6.77798725521765e-17</v>
      </c>
      <c r="R158" s="21">
        <v>7.61231758678049e-17</v>
      </c>
    </row>
    <row r="159" ht="14" spans="1:18">
      <c r="A159" s="4" t="s">
        <v>506</v>
      </c>
      <c r="B159" s="14">
        <f t="shared" si="12"/>
        <v>156</v>
      </c>
      <c r="C159" s="15" t="str">
        <f t="shared" si="13"/>
        <v>10,3 ± 0,63</v>
      </c>
      <c r="D159" s="15" t="str">
        <f>CONCATENATE(ROUND(VLOOKUP($A159,$A$2:$V$110,5,FALSE),2),"; ",ROUND(VLOOKUP($A$116,$A45:$V$110,6,FALSE),2))</f>
        <v>10,2; 0,45</v>
      </c>
      <c r="E159" s="16">
        <f t="shared" si="14"/>
        <v>10.28</v>
      </c>
      <c r="F159" s="15" t="str">
        <f t="shared" si="15"/>
        <v>9,91; 10,7</v>
      </c>
      <c r="G159" s="15" t="str">
        <f t="shared" si="16"/>
        <v>9,2; 11,62</v>
      </c>
      <c r="H159" s="14">
        <f t="shared" si="17"/>
        <v>155</v>
      </c>
      <c r="I159" s="16">
        <f t="shared" si="18"/>
        <v>10.5583225806452</v>
      </c>
      <c r="J159" s="15" t="str">
        <f t="shared" si="19"/>
        <v>10,47; 10,65</v>
      </c>
      <c r="K159" s="16">
        <f t="shared" si="20"/>
        <v>10.54</v>
      </c>
      <c r="L159" s="15" t="str">
        <f t="shared" si="21"/>
        <v>10,11; 10,9</v>
      </c>
      <c r="M159" s="15" t="str">
        <f t="shared" si="22"/>
        <v>9,66; 11,92</v>
      </c>
      <c r="N159" s="15">
        <f t="shared" si="23"/>
        <v>0.000477587829079492</v>
      </c>
      <c r="O159" s="21">
        <v>0.00196652355424693</v>
      </c>
      <c r="P159" s="21">
        <v>0.00481919731090102</v>
      </c>
      <c r="Q159" s="21">
        <v>0.00457295897130178</v>
      </c>
      <c r="R159" s="21">
        <v>0.0044642452667309</v>
      </c>
    </row>
    <row r="160" ht="14" spans="1:18">
      <c r="A160" s="4" t="s">
        <v>513</v>
      </c>
      <c r="B160" s="14">
        <f t="shared" si="12"/>
        <v>156</v>
      </c>
      <c r="C160" s="15" t="str">
        <f t="shared" si="13"/>
        <v>1,35 ± 0,54</v>
      </c>
      <c r="D160" s="15" t="str">
        <f>CONCATENATE(ROUND(VLOOKUP($A160,$A$2:$V$110,5,FALSE),2),"; ",ROUND(VLOOKUP($A$116,$A46:$V$110,6,FALSE),2))</f>
        <v>1,26; 0,45</v>
      </c>
      <c r="E160" s="16">
        <f t="shared" si="14"/>
        <v>1.25</v>
      </c>
      <c r="F160" s="15" t="str">
        <f t="shared" si="15"/>
        <v>1,06; 1,48</v>
      </c>
      <c r="G160" s="15" t="str">
        <f t="shared" si="16"/>
        <v>0,81; 2,56</v>
      </c>
      <c r="H160" s="14">
        <f t="shared" si="17"/>
        <v>155</v>
      </c>
      <c r="I160" s="16">
        <f t="shared" si="18"/>
        <v>2.00587096774194</v>
      </c>
      <c r="J160" s="15" t="str">
        <f t="shared" si="19"/>
        <v>1,86; 2,16</v>
      </c>
      <c r="K160" s="16">
        <f t="shared" si="20"/>
        <v>1.66</v>
      </c>
      <c r="L160" s="15" t="str">
        <f t="shared" si="21"/>
        <v>1,42; 2,3</v>
      </c>
      <c r="M160" s="15" t="str">
        <f t="shared" si="22"/>
        <v>1,02; 4,61</v>
      </c>
      <c r="N160" s="15">
        <f t="shared" si="23"/>
        <v>4.24748954878773e-20</v>
      </c>
      <c r="O160" s="21">
        <v>9.5855122545776e-16</v>
      </c>
      <c r="P160" s="21">
        <v>2.82530149901314e-14</v>
      </c>
      <c r="Q160" s="21">
        <v>2.4638055383071e-14</v>
      </c>
      <c r="R160" s="21">
        <v>2.77017468621166e-14</v>
      </c>
    </row>
    <row r="161" ht="14" spans="1:18">
      <c r="A161" s="4" t="s">
        <v>520</v>
      </c>
      <c r="B161" s="14">
        <f t="shared" si="12"/>
        <v>156</v>
      </c>
      <c r="C161" s="15" t="str">
        <f t="shared" si="13"/>
        <v>3,01 ± 0,48</v>
      </c>
      <c r="D161" s="15" t="str">
        <f>CONCATENATE(ROUND(VLOOKUP($A161,$A$2:$V$110,5,FALSE),2),"; ",ROUND(VLOOKUP($A$116,$A47:$V$110,6,FALSE),2))</f>
        <v>2,93; 0,45</v>
      </c>
      <c r="E161" s="16">
        <f t="shared" si="14"/>
        <v>2.98</v>
      </c>
      <c r="F161" s="15" t="str">
        <f t="shared" si="15"/>
        <v>2,67; 3,24</v>
      </c>
      <c r="G161" s="15" t="str">
        <f t="shared" si="16"/>
        <v>2,25; 4,14</v>
      </c>
      <c r="H161" s="14">
        <f t="shared" si="17"/>
        <v>155</v>
      </c>
      <c r="I161" s="16">
        <f t="shared" si="18"/>
        <v>3.30412903225806</v>
      </c>
      <c r="J161" s="15" t="str">
        <f t="shared" si="19"/>
        <v>3,24; 3,37</v>
      </c>
      <c r="K161" s="16">
        <f t="shared" si="20"/>
        <v>3.27</v>
      </c>
      <c r="L161" s="15" t="str">
        <f t="shared" si="21"/>
        <v>3,03; 3,52</v>
      </c>
      <c r="M161" s="15" t="str">
        <f t="shared" si="22"/>
        <v>2,66; 4,28</v>
      </c>
      <c r="N161" s="15">
        <f t="shared" si="23"/>
        <v>1.43442899362802e-9</v>
      </c>
      <c r="O161" s="21">
        <v>1.88433298189581e-8</v>
      </c>
      <c r="P161" s="21">
        <v>1.67661894207253e-7</v>
      </c>
      <c r="Q161" s="21">
        <v>1.30594705793313e-7</v>
      </c>
      <c r="R161" s="21">
        <v>1.33229588034001e-7</v>
      </c>
    </row>
    <row r="162" ht="14" spans="1:18">
      <c r="A162" s="4" t="s">
        <v>527</v>
      </c>
      <c r="B162" s="14">
        <f t="shared" si="12"/>
        <v>156</v>
      </c>
      <c r="C162" s="15" t="str">
        <f t="shared" si="13"/>
        <v>744,57 ± 141,48</v>
      </c>
      <c r="D162" s="15" t="str">
        <f>CONCATENATE(ROUND(VLOOKUP($A162,$A$2:$V$110,5,FALSE),2),"; ",ROUND(VLOOKUP($A$116,$A48:$V$110,6,FALSE),2))</f>
        <v>722,37; 0,45</v>
      </c>
      <c r="E162" s="16">
        <f t="shared" si="14"/>
        <v>733.09</v>
      </c>
      <c r="F162" s="15" t="str">
        <f t="shared" si="15"/>
        <v>647,83; 828,39</v>
      </c>
      <c r="G162" s="15" t="str">
        <f t="shared" si="16"/>
        <v>501,66; 1027,03</v>
      </c>
      <c r="H162" s="14">
        <f t="shared" si="17"/>
        <v>155</v>
      </c>
      <c r="I162" s="16">
        <f t="shared" si="18"/>
        <v>885.419290322581</v>
      </c>
      <c r="J162" s="15" t="str">
        <f t="shared" si="19"/>
        <v>858,41; 912,43</v>
      </c>
      <c r="K162" s="16">
        <f t="shared" si="20"/>
        <v>862.86</v>
      </c>
      <c r="L162" s="15" t="str">
        <f t="shared" si="21"/>
        <v>772,77; 965,51</v>
      </c>
      <c r="M162" s="15" t="str">
        <f t="shared" si="22"/>
        <v>625,63; 1332,35</v>
      </c>
      <c r="N162" s="15">
        <f t="shared" si="23"/>
        <v>2.00589897177994e-13</v>
      </c>
      <c r="O162" s="21">
        <v>2.19296548986874e-15</v>
      </c>
      <c r="P162" s="21">
        <v>3.02220140295192e-14</v>
      </c>
      <c r="Q162" s="21">
        <v>5.68741372374359e-14</v>
      </c>
      <c r="R162" s="21">
        <v>3.74144179980303e-14</v>
      </c>
    </row>
    <row r="163" ht="14" spans="1:18">
      <c r="A163" s="4" t="s">
        <v>534</v>
      </c>
      <c r="B163" s="14">
        <f t="shared" si="12"/>
        <v>156</v>
      </c>
      <c r="C163" s="15" t="str">
        <f t="shared" si="13"/>
        <v>1,02 ± 0,23</v>
      </c>
      <c r="D163" s="15" t="str">
        <f>CONCATENATE(ROUND(VLOOKUP($A163,$A$2:$V$110,5,FALSE),2),"; ",ROUND(VLOOKUP($A$116,$A49:$V$110,6,FALSE),2))</f>
        <v>0,98; 0,45</v>
      </c>
      <c r="E163" s="16">
        <f t="shared" si="14"/>
        <v>0.99</v>
      </c>
      <c r="F163" s="15" t="str">
        <f t="shared" si="15"/>
        <v>0,86; 1,15</v>
      </c>
      <c r="G163" s="15" t="str">
        <f t="shared" si="16"/>
        <v>0,69; 1,61</v>
      </c>
      <c r="H163" s="14">
        <f t="shared" si="17"/>
        <v>155</v>
      </c>
      <c r="I163" s="16">
        <f t="shared" si="18"/>
        <v>1.30935483870968</v>
      </c>
      <c r="J163" s="15" t="str">
        <f t="shared" si="19"/>
        <v>1,23; 1,39</v>
      </c>
      <c r="K163" s="16">
        <f t="shared" si="20"/>
        <v>1.24</v>
      </c>
      <c r="L163" s="15" t="str">
        <f t="shared" si="21"/>
        <v>1,07; 1,44</v>
      </c>
      <c r="M163" s="15" t="str">
        <f t="shared" si="22"/>
        <v>0,88; 2,07</v>
      </c>
      <c r="N163" s="15">
        <f t="shared" si="23"/>
        <v>1.47277636857272e-17</v>
      </c>
      <c r="O163" s="21">
        <v>7.87694139003182e-16</v>
      </c>
      <c r="P163" s="21">
        <v>6.47127974788837e-16</v>
      </c>
      <c r="Q163" s="21">
        <v>2.85529503695263e-15</v>
      </c>
      <c r="R163" s="21">
        <v>3.59070507949049e-15</v>
      </c>
    </row>
    <row r="164" ht="14" spans="1:18">
      <c r="A164" s="4" t="s">
        <v>541</v>
      </c>
      <c r="B164" s="14">
        <f t="shared" si="12"/>
        <v>156</v>
      </c>
      <c r="C164" s="15" t="str">
        <f t="shared" si="13"/>
        <v>1,65 ± 0,41</v>
      </c>
      <c r="D164" s="15" t="str">
        <f>CONCATENATE(ROUND(VLOOKUP($A164,$A$2:$V$110,5,FALSE),2),"; ",ROUND(VLOOKUP($A$116,$A50:$V$110,6,FALSE),2))</f>
        <v>1,59; 0,45</v>
      </c>
      <c r="E164" s="16">
        <f t="shared" si="14"/>
        <v>1.57</v>
      </c>
      <c r="F164" s="15" t="str">
        <f t="shared" si="15"/>
        <v>1,36; 1,89</v>
      </c>
      <c r="G164" s="15" t="str">
        <f t="shared" si="16"/>
        <v>1,07; 2,51</v>
      </c>
      <c r="H164" s="14">
        <f t="shared" si="17"/>
        <v>155</v>
      </c>
      <c r="I164" s="16">
        <f t="shared" si="18"/>
        <v>1.91051612903226</v>
      </c>
      <c r="J164" s="15" t="str">
        <f t="shared" si="19"/>
        <v>1,8; 2,02</v>
      </c>
      <c r="K164" s="16">
        <f t="shared" si="20"/>
        <v>1.81</v>
      </c>
      <c r="L164" s="15" t="str">
        <f t="shared" si="21"/>
        <v>1,56; 2,12</v>
      </c>
      <c r="M164" s="15" t="str">
        <f t="shared" si="22"/>
        <v>1,21; 3,02</v>
      </c>
      <c r="N164" s="15">
        <f t="shared" si="23"/>
        <v>2.55933312387853e-6</v>
      </c>
      <c r="O164" s="21">
        <v>3.15086999925169e-5</v>
      </c>
      <c r="P164" s="21">
        <v>2.75203022486242e-5</v>
      </c>
      <c r="Q164" s="21">
        <v>5.11653820692867e-5</v>
      </c>
      <c r="R164" s="21">
        <v>5.49611987089496e-5</v>
      </c>
    </row>
    <row r="165" ht="14" spans="1:18">
      <c r="A165" s="4" t="s">
        <v>548</v>
      </c>
      <c r="B165" s="14">
        <f t="shared" si="12"/>
        <v>156</v>
      </c>
      <c r="C165" s="15" t="str">
        <f t="shared" si="13"/>
        <v>14,97 ± 3,44</v>
      </c>
      <c r="D165" s="15" t="str">
        <f>CONCATENATE(ROUND(VLOOKUP($A165,$A$2:$V$110,5,FALSE),2),"; ",ROUND(VLOOKUP($A$116,$A51:$V$110,6,FALSE),2))</f>
        <v>14,43; 0,45</v>
      </c>
      <c r="E165" s="16">
        <f t="shared" si="14"/>
        <v>14.6</v>
      </c>
      <c r="F165" s="15" t="str">
        <f t="shared" si="15"/>
        <v>12,97; 16,24</v>
      </c>
      <c r="G165" s="15" t="str">
        <f t="shared" si="16"/>
        <v>9,71; 24,17</v>
      </c>
      <c r="H165" s="14">
        <f t="shared" si="17"/>
        <v>155</v>
      </c>
      <c r="I165" s="16">
        <f t="shared" si="18"/>
        <v>18.3378064516129</v>
      </c>
      <c r="J165" s="15" t="str">
        <f t="shared" si="19"/>
        <v>17,33; 19,35</v>
      </c>
      <c r="K165" s="16">
        <f t="shared" si="20"/>
        <v>17.25</v>
      </c>
      <c r="L165" s="15" t="str">
        <f t="shared" si="21"/>
        <v>14,85; 20,79</v>
      </c>
      <c r="M165" s="15" t="str">
        <f t="shared" si="22"/>
        <v>11,68; 30,05</v>
      </c>
      <c r="N165" s="15">
        <f t="shared" si="23"/>
        <v>1.5156878476778e-10</v>
      </c>
      <c r="O165" s="21">
        <v>8.33628476917865e-9</v>
      </c>
      <c r="P165" s="21">
        <v>6.61955226207782e-9</v>
      </c>
      <c r="Q165" s="21">
        <v>7.20153522476839e-9</v>
      </c>
      <c r="R165" s="21">
        <v>8.82515829516692e-9</v>
      </c>
    </row>
    <row r="166" ht="14" spans="1:18">
      <c r="A166" s="4" t="s">
        <v>555</v>
      </c>
      <c r="B166" s="14">
        <f t="shared" si="12"/>
        <v>156</v>
      </c>
      <c r="C166" s="15" t="str">
        <f t="shared" si="13"/>
        <v>4,75 ± 0,99</v>
      </c>
      <c r="D166" s="15" t="str">
        <f>CONCATENATE(ROUND(VLOOKUP($A166,$A$2:$V$110,5,FALSE),2),"; ",ROUND(VLOOKUP($A$116,$A52:$V$110,6,FALSE),2))</f>
        <v>4,6; 0,45</v>
      </c>
      <c r="E166" s="16">
        <f t="shared" si="14"/>
        <v>4.64</v>
      </c>
      <c r="F166" s="15" t="str">
        <f t="shared" si="15"/>
        <v>4,18; 5,03</v>
      </c>
      <c r="G166" s="15" t="str">
        <f t="shared" si="16"/>
        <v>3,47; 7,52</v>
      </c>
      <c r="H166" s="14">
        <f t="shared" si="17"/>
        <v>155</v>
      </c>
      <c r="I166" s="16">
        <f t="shared" si="18"/>
        <v>5.36509677419355</v>
      </c>
      <c r="J166" s="15" t="str">
        <f t="shared" si="19"/>
        <v>5,1; 5,63</v>
      </c>
      <c r="K166" s="16">
        <f t="shared" si="20"/>
        <v>5.05</v>
      </c>
      <c r="L166" s="15" t="str">
        <f t="shared" si="21"/>
        <v>4,64; 5,57</v>
      </c>
      <c r="M166" s="15" t="str">
        <f t="shared" si="22"/>
        <v>3,81; 7,76</v>
      </c>
      <c r="N166" s="15">
        <f t="shared" si="23"/>
        <v>1.92964815824007e-8</v>
      </c>
      <c r="O166" s="21">
        <v>6.23630752267794e-5</v>
      </c>
      <c r="P166" s="21">
        <v>0.000543942056194259</v>
      </c>
      <c r="Q166" s="21">
        <v>0.000948228849595384</v>
      </c>
      <c r="R166" s="21">
        <v>0.000910269759291282</v>
      </c>
    </row>
    <row r="167" ht="14" spans="1:18">
      <c r="A167" s="4" t="s">
        <v>562</v>
      </c>
      <c r="B167" s="14">
        <f t="shared" si="12"/>
        <v>156</v>
      </c>
      <c r="C167" s="15" t="str">
        <f t="shared" si="13"/>
        <v>1,37 ± 0,54</v>
      </c>
      <c r="D167" s="15" t="str">
        <f>CONCATENATE(ROUND(VLOOKUP($A167,$A$2:$V$110,5,FALSE),2),"; ",ROUND(VLOOKUP($A$116,$A53:$V$110,6,FALSE),2))</f>
        <v>1,29; 0,45</v>
      </c>
      <c r="E167" s="16">
        <f t="shared" si="14"/>
        <v>1.28</v>
      </c>
      <c r="F167" s="15" t="str">
        <f t="shared" si="15"/>
        <v>0,98; 1,58</v>
      </c>
      <c r="G167" s="15" t="str">
        <f t="shared" si="16"/>
        <v>0,65; 2,74</v>
      </c>
      <c r="H167" s="14">
        <f t="shared" si="17"/>
        <v>155</v>
      </c>
      <c r="I167" s="16">
        <f t="shared" si="18"/>
        <v>1.69554838709677</v>
      </c>
      <c r="J167" s="15" t="str">
        <f t="shared" si="19"/>
        <v>1,58; 1,81</v>
      </c>
      <c r="K167" s="16">
        <f t="shared" si="20"/>
        <v>1.55</v>
      </c>
      <c r="L167" s="15" t="str">
        <f t="shared" si="21"/>
        <v>1,21; 2,07</v>
      </c>
      <c r="M167" s="15" t="str">
        <f t="shared" si="22"/>
        <v>0,83; 3,15</v>
      </c>
      <c r="N167" s="15">
        <f t="shared" si="23"/>
        <v>1.34825260781447e-6</v>
      </c>
      <c r="O167" s="21">
        <v>1.34141500949005e-5</v>
      </c>
      <c r="P167" s="21">
        <v>7.98645768096322e-6</v>
      </c>
      <c r="Q167" s="21">
        <v>5.50339606921321e-6</v>
      </c>
      <c r="R167" s="21">
        <v>5.93380587781591e-6</v>
      </c>
    </row>
    <row r="168" ht="14" spans="1:18">
      <c r="A168" s="4" t="s">
        <v>569</v>
      </c>
      <c r="B168" s="14">
        <f t="shared" si="12"/>
        <v>156</v>
      </c>
      <c r="C168" s="15" t="str">
        <f t="shared" si="13"/>
        <v>326,33 ± 52,55</v>
      </c>
      <c r="D168" s="15" t="str">
        <f>CONCATENATE(ROUND(VLOOKUP($A168,$A$2:$V$110,5,FALSE),2),"; ",ROUND(VLOOKUP($A$116,$A54:$V$110,6,FALSE),2))</f>
        <v>318,09; 0,45</v>
      </c>
      <c r="E168" s="16">
        <f t="shared" si="14"/>
        <v>317.03</v>
      </c>
      <c r="F168" s="15" t="str">
        <f t="shared" si="15"/>
        <v>295,18; 355,44</v>
      </c>
      <c r="G168" s="15" t="str">
        <f t="shared" si="16"/>
        <v>239,55; 443,34</v>
      </c>
      <c r="H168" s="14">
        <f t="shared" si="17"/>
        <v>155</v>
      </c>
      <c r="I168" s="16">
        <f t="shared" si="18"/>
        <v>380.191419354839</v>
      </c>
      <c r="J168" s="15" t="str">
        <f t="shared" si="19"/>
        <v>371,06; 389,32</v>
      </c>
      <c r="K168" s="16">
        <f t="shared" si="20"/>
        <v>370.46</v>
      </c>
      <c r="L168" s="15" t="str">
        <f t="shared" si="21"/>
        <v>338,96; 414,89</v>
      </c>
      <c r="M168" s="15" t="str">
        <f t="shared" si="22"/>
        <v>289,57; 507,4</v>
      </c>
      <c r="N168" s="15">
        <f t="shared" si="23"/>
        <v>2.98931923620566e-15</v>
      </c>
      <c r="O168" s="21">
        <v>1.38155945192749e-15</v>
      </c>
      <c r="P168" s="21">
        <v>4.31281951847242e-15</v>
      </c>
      <c r="Q168" s="21">
        <v>6.96626703796074e-15</v>
      </c>
      <c r="R168" s="21">
        <v>8.04383586631952e-15</v>
      </c>
    </row>
    <row r="169" ht="14" spans="1:18">
      <c r="A169" s="4" t="s">
        <v>576</v>
      </c>
      <c r="B169" s="14">
        <f t="shared" si="12"/>
        <v>156</v>
      </c>
      <c r="C169" s="15" t="str">
        <f t="shared" si="13"/>
        <v>7,18 ± 0,33</v>
      </c>
      <c r="D169" s="15" t="str">
        <f>CONCATENATE(ROUND(VLOOKUP($A169,$A$2:$V$110,5,FALSE),2),"; ",ROUND(VLOOKUP($A$116,$A55:$V$110,6,FALSE),2))</f>
        <v>7,13; 0,45</v>
      </c>
      <c r="E169" s="16">
        <f t="shared" si="14"/>
        <v>7.14</v>
      </c>
      <c r="F169" s="15" t="str">
        <f t="shared" si="15"/>
        <v>6,98; 7,38</v>
      </c>
      <c r="G169" s="15" t="str">
        <f t="shared" si="16"/>
        <v>6,6; 7,83</v>
      </c>
      <c r="H169" s="14">
        <f t="shared" si="17"/>
        <v>155</v>
      </c>
      <c r="I169" s="16">
        <f t="shared" si="18"/>
        <v>7.1758064516129</v>
      </c>
      <c r="J169" s="15" t="str">
        <f t="shared" si="19"/>
        <v>7,12; 7,23</v>
      </c>
      <c r="K169" s="16">
        <f t="shared" si="20"/>
        <v>7.17</v>
      </c>
      <c r="L169" s="15" t="str">
        <f t="shared" si="21"/>
        <v>6,94; 7,42</v>
      </c>
      <c r="M169" s="15" t="str">
        <f t="shared" si="22"/>
        <v>6,55; 7,91</v>
      </c>
      <c r="N169" s="15">
        <f t="shared" si="23"/>
        <v>0.860331251016884</v>
      </c>
      <c r="O169" s="21">
        <v>0.885962025142087</v>
      </c>
      <c r="P169" s="21">
        <v>0.861415408342021</v>
      </c>
      <c r="Q169" s="21">
        <v>0.863108636040785</v>
      </c>
      <c r="R169" s="21">
        <v>0.857826728835607</v>
      </c>
    </row>
    <row r="170" ht="14" spans="1:18">
      <c r="A170" s="4" t="s">
        <v>583</v>
      </c>
      <c r="B170" s="14">
        <f t="shared" si="12"/>
        <v>156</v>
      </c>
      <c r="C170" s="15" t="str">
        <f t="shared" si="13"/>
        <v>130,43 ± 41,4</v>
      </c>
      <c r="D170" s="15" t="str">
        <f>CONCATENATE(ROUND(VLOOKUP($A170,$A$2:$V$110,5,FALSE),2),"; ",ROUND(VLOOKUP($A$116,$A56:$V$110,6,FALSE),2))</f>
        <v>123,93; 0,45</v>
      </c>
      <c r="E170" s="16">
        <f t="shared" si="14"/>
        <v>124.38</v>
      </c>
      <c r="F170" s="15" t="str">
        <f t="shared" si="15"/>
        <v>100,59; 155,77</v>
      </c>
      <c r="G170" s="15" t="str">
        <f t="shared" si="16"/>
        <v>60,34; 218,94</v>
      </c>
      <c r="H170" s="14">
        <f t="shared" si="17"/>
        <v>155</v>
      </c>
      <c r="I170" s="16">
        <f t="shared" si="18"/>
        <v>203.773935483871</v>
      </c>
      <c r="J170" s="15" t="str">
        <f t="shared" si="19"/>
        <v>195,05; 212,5</v>
      </c>
      <c r="K170" s="16">
        <f t="shared" si="20"/>
        <v>199.45</v>
      </c>
      <c r="L170" s="15" t="str">
        <f t="shared" si="21"/>
        <v>164,65; 232,76</v>
      </c>
      <c r="M170" s="15" t="str">
        <f t="shared" si="22"/>
        <v>115,95; 320,83</v>
      </c>
      <c r="N170" s="15">
        <f t="shared" si="23"/>
        <v>6.80205890925224e-28</v>
      </c>
      <c r="O170" s="21">
        <v>3.27092666384701e-32</v>
      </c>
      <c r="P170" s="21">
        <v>5.89700138828406e-30</v>
      </c>
      <c r="Q170" s="21">
        <v>9.11288250143276e-30</v>
      </c>
      <c r="R170" s="21">
        <v>1.20425204735874e-29</v>
      </c>
    </row>
    <row r="171" ht="14" spans="1:18">
      <c r="A171" s="24" t="s">
        <v>592</v>
      </c>
      <c r="B171" s="14"/>
      <c r="C171" s="15"/>
      <c r="D171" s="15"/>
      <c r="E171" s="16"/>
      <c r="F171" s="15"/>
      <c r="G171" s="15"/>
      <c r="H171" s="14"/>
      <c r="I171" s="16"/>
      <c r="J171" s="15"/>
      <c r="K171" s="16"/>
      <c r="L171" s="15"/>
      <c r="M171" s="15"/>
      <c r="N171" s="15"/>
      <c r="O171" s="21"/>
      <c r="P171" s="21"/>
      <c r="Q171" s="21"/>
      <c r="R171" s="21"/>
    </row>
    <row r="172" ht="14" spans="1:18">
      <c r="A172" s="7" t="s">
        <v>593</v>
      </c>
      <c r="B172" s="14">
        <f>VLOOKUP($A172,$A$2:$V$110,2,FALSE)</f>
        <v>151</v>
      </c>
      <c r="C172" s="15" t="str">
        <f>CONCATENATE(ROUND(VLOOKUP($A172,$A$2:$V$110,3,FALSE),2)," ± ",ROUND(VLOOKUP($A172,$A$2:$V$110,4,FALSE),2))</f>
        <v>0,13 ± 0,14</v>
      </c>
      <c r="D172" s="15" t="str">
        <f>CONCATENATE(ROUND(VLOOKUP($A172,$A$2:$V$110,5,FALSE),2),"; ",ROUND(VLOOKUP($A$116,$A58:$V$110,6,FALSE),2))</f>
        <v>0,11; 0,45</v>
      </c>
      <c r="E172" s="16">
        <f>ROUND(VLOOKUP($A172,$A$2:$V$110,7,FALSE),2)</f>
        <v>0.09</v>
      </c>
      <c r="F172" s="15" t="str">
        <f>CONCATENATE(ROUND(VLOOKUP($A172,$A$2:$V$110,8,FALSE),2),"; ",ROUND(VLOOKUP($A172,$A$2:$V$110,9,FALSE),2))</f>
        <v>0,03; 0,17</v>
      </c>
      <c r="G172" s="15" t="str">
        <f>CONCATENATE(ROUND(VLOOKUP($A172,$A$2:$V$110,10,FALSE),2),"; ",ROUND(VLOOKUP($A172,$A$2:$V$110,11,FALSE),2))</f>
        <v>0; 0,51</v>
      </c>
      <c r="H172" s="14">
        <f>VLOOKUP($A172,$A$2:$V$110,12,FALSE)</f>
        <v>147</v>
      </c>
      <c r="I172" s="16">
        <f>VLOOKUP($A172,$A$2:$V$110,13,FALSE)</f>
        <v>0.128663945578231</v>
      </c>
      <c r="J172" s="15" t="str">
        <f>CONCATENATE(ROUND(VLOOKUP($A172,$A$2:$V$110,15,FALSE),2),"; ",ROUND(VLOOKUP($A172,$A$2:$V$110,16,FALSE),2))</f>
        <v>0,1; 0,16</v>
      </c>
      <c r="K172" s="16">
        <f>VLOOKUP($A172,$A$2:$V$110,17,FALSE)</f>
        <v>0.0844</v>
      </c>
      <c r="L172" s="15" t="str">
        <f>CONCATENATE(ROUND(VLOOKUP($A172,$A$2:$V$110,18,FALSE),2),"; ",ROUND(VLOOKUP($A172,$A$2:$V$110,19,FALSE),2))</f>
        <v>0,03; 0,15</v>
      </c>
      <c r="M172" s="15" t="str">
        <f>CONCATENATE(ROUND(VLOOKUP($A172,$A$2:$V$110,20,FALSE),2),"; ",ROUND(VLOOKUP($A172,$A$2:$V$110,21,FALSE),2))</f>
        <v>0; 0,67</v>
      </c>
      <c r="N172" s="15">
        <f>VLOOKUP($A172,$A$2:$V$110,22,FALSE)</f>
        <v>0.643197863836254</v>
      </c>
      <c r="O172" s="21">
        <v>0.683250635371123</v>
      </c>
      <c r="P172" s="21">
        <v>0.890212652802069</v>
      </c>
      <c r="Q172" s="21">
        <v>0.912933255809572</v>
      </c>
      <c r="R172" s="21">
        <v>0.867311805184066</v>
      </c>
    </row>
    <row r="173" ht="14" spans="1:18">
      <c r="A173" s="7" t="s">
        <v>600</v>
      </c>
      <c r="B173" s="14">
        <f>VLOOKUP($A173,$A$2:$V$110,2,FALSE)</f>
        <v>151</v>
      </c>
      <c r="C173" s="15" t="str">
        <f>CONCATENATE(ROUND(VLOOKUP($A173,$A$2:$V$110,3,FALSE),2)," ± ",ROUND(VLOOKUP($A173,$A$2:$V$110,4,FALSE),2))</f>
        <v>0,26 ± 0,17</v>
      </c>
      <c r="D173" s="15" t="str">
        <f>CONCATENATE(ROUND(VLOOKUP($A173,$A$2:$V$110,5,FALSE),2),"; ",ROUND(VLOOKUP($A$116,$A59:$V$110,6,FALSE),2))</f>
        <v>0,24; 0,45</v>
      </c>
      <c r="E173" s="16">
        <f>ROUND(VLOOKUP($A173,$A$2:$V$110,7,FALSE),2)</f>
        <v>0.23</v>
      </c>
      <c r="F173" s="15" t="str">
        <f>CONCATENATE(ROUND(VLOOKUP($A173,$A$2:$V$110,8,FALSE),2),"; ",ROUND(VLOOKUP($A173,$A$2:$V$110,9,FALSE),2))</f>
        <v>0,13; 0,38</v>
      </c>
      <c r="G173" s="15" t="str">
        <f>CONCATENATE(ROUND(VLOOKUP($A173,$A$2:$V$110,10,FALSE),2),"; ",ROUND(VLOOKUP($A173,$A$2:$V$110,11,FALSE),2))</f>
        <v>0,04; 0,63</v>
      </c>
      <c r="H173" s="14">
        <f>VLOOKUP($A173,$A$2:$V$110,12,FALSE)</f>
        <v>147</v>
      </c>
      <c r="I173" s="16">
        <f>VLOOKUP($A173,$A$2:$V$110,13,FALSE)</f>
        <v>0.258462585034014</v>
      </c>
      <c r="J173" s="15" t="str">
        <f>CONCATENATE(ROUND(VLOOKUP($A173,$A$2:$V$110,15,FALSE),2),"; ",ROUND(VLOOKUP($A173,$A$2:$V$110,16,FALSE),2))</f>
        <v>0,23; 0,29</v>
      </c>
      <c r="K173" s="16">
        <f>VLOOKUP($A173,$A$2:$V$110,17,FALSE)</f>
        <v>0.2135</v>
      </c>
      <c r="L173" s="15" t="str">
        <f>CONCATENATE(ROUND(VLOOKUP($A173,$A$2:$V$110,18,FALSE),2),"; ",ROUND(VLOOKUP($A173,$A$2:$V$110,19,FALSE),2))</f>
        <v>0,12; 0,37</v>
      </c>
      <c r="M173" s="15" t="str">
        <f>CONCATENATE(ROUND(VLOOKUP($A173,$A$2:$V$110,20,FALSE),2),"; ",ROUND(VLOOKUP($A173,$A$2:$V$110,21,FALSE),2))</f>
        <v>0,03; 0,65</v>
      </c>
      <c r="N173" s="15">
        <f>VLOOKUP($A173,$A$2:$V$110,22,FALSE)</f>
        <v>0.653350687593786</v>
      </c>
      <c r="O173" s="21">
        <v>0.885962025142087</v>
      </c>
      <c r="P173" s="21">
        <v>0.70978671675422</v>
      </c>
      <c r="Q173" s="21">
        <v>0.673280652624164</v>
      </c>
      <c r="R173" s="21">
        <v>0.657826197813045</v>
      </c>
    </row>
    <row r="174" ht="14" spans="1:18">
      <c r="A174" s="8" t="s">
        <v>607</v>
      </c>
      <c r="B174" s="14">
        <f>VLOOKUP($A174,$A$2:$V$110,2,FALSE)</f>
        <v>151</v>
      </c>
      <c r="C174" s="15" t="str">
        <f>CONCATENATE(ROUND(VLOOKUP($A174,$A$2:$V$110,3,FALSE),2)," ± ",ROUND(VLOOKUP($A174,$A$2:$V$110,4,FALSE),2))</f>
        <v>0,14 ± 0,18</v>
      </c>
      <c r="D174" s="15" t="str">
        <f>CONCATENATE(ROUND(VLOOKUP($A174,$A$2:$V$110,5,FALSE),2),"; ",ROUND(VLOOKUP($A$116,$A60:$V$110,6,FALSE),2))</f>
        <v>0,11; 0,45</v>
      </c>
      <c r="E174" s="16">
        <f>ROUND(VLOOKUP($A174,$A$2:$V$110,7,FALSE),2)</f>
        <v>0.06</v>
      </c>
      <c r="F174" s="15" t="str">
        <f>CONCATENATE(ROUND(VLOOKUP($A174,$A$2:$V$110,8,FALSE),2),"; ",ROUND(VLOOKUP($A174,$A$2:$V$110,9,FALSE),2))</f>
        <v>0,02; 0,17</v>
      </c>
      <c r="G174" s="15" t="str">
        <f>CONCATENATE(ROUND(VLOOKUP($A174,$A$2:$V$110,10,FALSE),2),"; ",ROUND(VLOOKUP($A174,$A$2:$V$110,11,FALSE),2))</f>
        <v>0; 0,57</v>
      </c>
      <c r="H174" s="14">
        <f>VLOOKUP($A174,$A$2:$V$110,12,FALSE)</f>
        <v>147</v>
      </c>
      <c r="I174" s="16">
        <f>VLOOKUP($A174,$A$2:$V$110,13,FALSE)</f>
        <v>0.141562585034014</v>
      </c>
      <c r="J174" s="15" t="str">
        <f>CONCATENATE(ROUND(VLOOKUP($A174,$A$2:$V$110,15,FALSE),2),"; ",ROUND(VLOOKUP($A174,$A$2:$V$110,16,FALSE),2))</f>
        <v>0,11; 0,17</v>
      </c>
      <c r="K174" s="16">
        <f>VLOOKUP($A174,$A$2:$V$110,17,FALSE)</f>
        <v>0.0641</v>
      </c>
      <c r="L174" s="15" t="str">
        <f>CONCATENATE(ROUND(VLOOKUP($A174,$A$2:$V$110,18,FALSE),2),"; ",ROUND(VLOOKUP($A174,$A$2:$V$110,19,FALSE),2))</f>
        <v>0,02; 0,18</v>
      </c>
      <c r="M174" s="15" t="str">
        <f>CONCATENATE(ROUND(VLOOKUP($A174,$A$2:$V$110,20,FALSE),2),"; ",ROUND(VLOOKUP($A174,$A$2:$V$110,21,FALSE),2))</f>
        <v>0; 0,72</v>
      </c>
      <c r="N174" s="15">
        <f>VLOOKUP($A174,$A$2:$V$110,22,FALSE)</f>
        <v>0.690618189779798</v>
      </c>
      <c r="O174" s="21">
        <v>0.885962025142087</v>
      </c>
      <c r="P174" s="21">
        <v>0.836686512569781</v>
      </c>
      <c r="Q174" s="21">
        <v>0.871319865078101</v>
      </c>
      <c r="R174" s="21">
        <v>0.866182410887325</v>
      </c>
    </row>
    <row r="175" ht="14" spans="1:18">
      <c r="A175" s="8" t="s">
        <v>615</v>
      </c>
      <c r="B175" s="14">
        <f>VLOOKUP($A175,$A$2:$V$110,2,FALSE)</f>
        <v>151</v>
      </c>
      <c r="C175" s="15" t="str">
        <f>CONCATENATE(ROUND(VLOOKUP($A175,$A$2:$V$110,3,FALSE),2)," ± ",ROUND(VLOOKUP($A175,$A$2:$V$110,4,FALSE),2))</f>
        <v>0,17 ± 0,2</v>
      </c>
      <c r="D175" s="15" t="str">
        <f>CONCATENATE(ROUND(VLOOKUP($A175,$A$2:$V$110,5,FALSE),2),"; ",ROUND(VLOOKUP($A$116,$A61:$V$110,6,FALSE),2))</f>
        <v>0,14; 0,45</v>
      </c>
      <c r="E175" s="16">
        <f>ROUND(VLOOKUP($A175,$A$2:$V$110,7,FALSE),2)</f>
        <v>0.09</v>
      </c>
      <c r="F175" s="15" t="str">
        <f>CONCATENATE(ROUND(VLOOKUP($A175,$A$2:$V$110,8,FALSE),2),"; ",ROUND(VLOOKUP($A175,$A$2:$V$110,9,FALSE),2))</f>
        <v>0,03; 0,22</v>
      </c>
      <c r="G175" s="15" t="str">
        <f>CONCATENATE(ROUND(VLOOKUP($A175,$A$2:$V$110,10,FALSE),2),"; ",ROUND(VLOOKUP($A175,$A$2:$V$110,11,FALSE),2))</f>
        <v>0; 0,69</v>
      </c>
      <c r="H175" s="14">
        <f>VLOOKUP($A175,$A$2:$V$110,12,FALSE)</f>
        <v>147</v>
      </c>
      <c r="I175" s="16">
        <f>VLOOKUP($A175,$A$2:$V$110,13,FALSE)</f>
        <v>0.15289387755102</v>
      </c>
      <c r="J175" s="15" t="str">
        <f>CONCATENATE(ROUND(VLOOKUP($A175,$A$2:$V$110,15,FALSE),2),"; ",ROUND(VLOOKUP($A175,$A$2:$V$110,16,FALSE),2))</f>
        <v>0,13; 0,18</v>
      </c>
      <c r="K175" s="16">
        <f>VLOOKUP($A175,$A$2:$V$110,17,FALSE)</f>
        <v>0.0957</v>
      </c>
      <c r="L175" s="15" t="str">
        <f>CONCATENATE(ROUND(VLOOKUP($A175,$A$2:$V$110,18,FALSE),2),"; ",ROUND(VLOOKUP($A175,$A$2:$V$110,19,FALSE),2))</f>
        <v>0,04; 0,21</v>
      </c>
      <c r="M175" s="15" t="str">
        <f>CONCATENATE(ROUND(VLOOKUP($A175,$A$2:$V$110,20,FALSE),2),"; ",ROUND(VLOOKUP($A175,$A$2:$V$110,21,FALSE),2))</f>
        <v>0,01; 0,56</v>
      </c>
      <c r="N175" s="15">
        <f>VLOOKUP($A175,$A$2:$V$110,22,FALSE)</f>
        <v>0.980153883869394</v>
      </c>
      <c r="O175" s="21">
        <v>0.994299428377451</v>
      </c>
      <c r="P175" s="21">
        <v>0.890212652802069</v>
      </c>
      <c r="Q175" s="21">
        <v>0.871319865078101</v>
      </c>
      <c r="R175" s="21">
        <v>0.866182410887325</v>
      </c>
    </row>
    <row r="176" ht="14.75" spans="1:18">
      <c r="A176" s="9" t="s">
        <v>622</v>
      </c>
      <c r="B176" s="25">
        <f>VLOOKUP($A176,$A$2:$V$110,2,FALSE)</f>
        <v>151</v>
      </c>
      <c r="C176" s="25" t="str">
        <f>CONCATENATE(ROUND(VLOOKUP($A176,$A$2:$V$110,3,FALSE),2)," ± ",ROUND(VLOOKUP($A176,$A$2:$V$110,4,FALSE),2))</f>
        <v>0,11 ± 0,11</v>
      </c>
      <c r="D176" s="26" t="str">
        <f>CONCATENATE(ROUND(VLOOKUP($A176,$A$2:$V$110,5,FALSE),2),"; ",ROUND(VLOOKUP($A$116,$A62:$V$110,6,FALSE),2))</f>
        <v>0,1; 0,45</v>
      </c>
      <c r="E176" s="26">
        <f>ROUND(VLOOKUP($A176,$A$2:$V$110,7,FALSE),2)</f>
        <v>0.09</v>
      </c>
      <c r="F176" s="26" t="str">
        <f>CONCATENATE(ROUND(VLOOKUP($A176,$A$2:$V$110,8,FALSE),2),"; ",ROUND(VLOOKUP($A176,$A$2:$V$110,9,FALSE),2))</f>
        <v>0,02; 0,16</v>
      </c>
      <c r="G176" s="26" t="str">
        <f>CONCATENATE(ROUND(VLOOKUP($A176,$A$2:$V$110,10,FALSE),2),"; ",ROUND(VLOOKUP($A176,$A$2:$V$110,11,FALSE),2))</f>
        <v>0; 0,39</v>
      </c>
      <c r="H176" s="25">
        <f>VLOOKUP($A176,$A$2:$V$110,12,FALSE)</f>
        <v>147</v>
      </c>
      <c r="I176" s="25">
        <f>VLOOKUP($A176,$A$2:$V$110,13,FALSE)</f>
        <v>0.116223129251701</v>
      </c>
      <c r="J176" s="27" t="str">
        <f>CONCATENATE(ROUND(VLOOKUP($A176,$A$2:$V$110,15,FALSE),2),"; ",ROUND(VLOOKUP($A176,$A$2:$V$110,16,FALSE),2))</f>
        <v>0,1; 0,13</v>
      </c>
      <c r="K176" s="26">
        <f>VLOOKUP($A176,$A$2:$V$110,17,FALSE)</f>
        <v>0.0928</v>
      </c>
      <c r="L176" s="27" t="str">
        <f>CONCATENATE(ROUND(VLOOKUP($A176,$A$2:$V$110,18,FALSE),2),"; ",ROUND(VLOOKUP($A176,$A$2:$V$110,19,FALSE),2))</f>
        <v>0,03; 0,18</v>
      </c>
      <c r="M176" s="26" t="str">
        <f>CONCATENATE(ROUND(VLOOKUP($A176,$A$2:$V$110,20,FALSE),2),"; ",ROUND(VLOOKUP($A176,$A$2:$V$110,21,FALSE),2))</f>
        <v>0; 0,35</v>
      </c>
      <c r="N176" s="26">
        <f>VLOOKUP($A176,$A$2:$V$110,22,FALSE)</f>
        <v>0.484416040637814</v>
      </c>
      <c r="O176" s="26">
        <v>0.315386202297923</v>
      </c>
      <c r="P176" s="26">
        <v>0.336967254144751</v>
      </c>
      <c r="Q176" s="26">
        <v>0.276262917468385</v>
      </c>
      <c r="R176" s="26">
        <v>0.258216062259413</v>
      </c>
    </row>
    <row r="178" ht="14" spans="1:18">
      <c r="A178" s="10" t="s">
        <v>251</v>
      </c>
      <c r="B178" s="11" t="s">
        <v>1309</v>
      </c>
      <c r="C178" s="11"/>
      <c r="D178" s="11"/>
      <c r="E178" s="11"/>
      <c r="F178" s="11"/>
      <c r="G178" s="11"/>
      <c r="H178" s="11" t="s">
        <v>1310</v>
      </c>
      <c r="I178" s="11"/>
      <c r="J178" s="11"/>
      <c r="K178" s="11"/>
      <c r="L178" s="11"/>
      <c r="M178" s="11"/>
      <c r="N178" s="17" t="s">
        <v>1311</v>
      </c>
      <c r="O178" s="18" t="s">
        <v>229</v>
      </c>
      <c r="P178" s="18" t="s">
        <v>230</v>
      </c>
      <c r="Q178" s="18" t="s">
        <v>231</v>
      </c>
      <c r="R178" s="18" t="s">
        <v>232</v>
      </c>
    </row>
    <row r="179" ht="28" spans="1:18">
      <c r="A179" s="12"/>
      <c r="B179" s="13" t="s">
        <v>101</v>
      </c>
      <c r="C179" s="13" t="s">
        <v>1312</v>
      </c>
      <c r="D179" s="13" t="s">
        <v>643</v>
      </c>
      <c r="E179" s="13" t="s">
        <v>0</v>
      </c>
      <c r="F179" s="13" t="s">
        <v>104</v>
      </c>
      <c r="G179" s="13" t="s">
        <v>105</v>
      </c>
      <c r="H179" s="13" t="s">
        <v>101</v>
      </c>
      <c r="I179" s="13" t="s">
        <v>102</v>
      </c>
      <c r="J179" s="13" t="s">
        <v>643</v>
      </c>
      <c r="K179" s="13" t="s">
        <v>0</v>
      </c>
      <c r="L179" s="13" t="s">
        <v>104</v>
      </c>
      <c r="M179" s="13" t="s">
        <v>105</v>
      </c>
      <c r="N179" s="19" t="s">
        <v>234</v>
      </c>
      <c r="O179" s="20"/>
      <c r="P179" s="20"/>
      <c r="Q179" s="20"/>
      <c r="R179" s="20"/>
    </row>
    <row r="180" ht="14" spans="1:18">
      <c r="A180" s="2" t="s">
        <v>251</v>
      </c>
      <c r="B180" s="14">
        <f>VLOOKUP($A180,$A$2:$V$110,2,FALSE)</f>
        <v>156</v>
      </c>
      <c r="C180" s="15" t="str">
        <f>CONCATENATE(ROUND(VLOOKUP($A180,$A$2:$V$110,3,FALSE),2)," ± ",ROUND(VLOOKUP($A180,$A$2:$V$110,4,FALSE),2))</f>
        <v>0,41 ± 0,26</v>
      </c>
      <c r="D180" s="15" t="e">
        <f>CONCATENATE(ROUND(VLOOKUP($A180,$A$2:$V$110,5,FALSE),2),"; ",ROUND(VLOOKUP($A$116,$A66:$V$110,6,FALSE),2))</f>
        <v>#N/A</v>
      </c>
      <c r="E180" s="16">
        <f>ROUND(VLOOKUP($A180,$A$2:$V$110,7,FALSE),2)</f>
        <v>0.37</v>
      </c>
      <c r="F180" s="15" t="str">
        <f>CONCATENATE(ROUND(VLOOKUP($A180,$A$2:$V$110,8,FALSE),2),"; ",ROUND(VLOOKUP($A180,$A$2:$V$110,9,FALSE),2))</f>
        <v>0,24; 0,55</v>
      </c>
      <c r="G180" s="15" t="str">
        <f>CONCATENATE(ROUND(VLOOKUP($A180,$A$2:$V$110,10,FALSE),2),"; ",ROUND(VLOOKUP($A180,$A$2:$V$110,11,FALSE),2))</f>
        <v>0,03; 1,04</v>
      </c>
      <c r="H180" s="14">
        <f>VLOOKUP($A180,$A$2:$V$110,12,FALSE)</f>
        <v>155</v>
      </c>
      <c r="I180" s="15" t="str">
        <f>CONCATENATE(ROUND(VLOOKUP($A180,$A$2:$V$110,13,FALSE),2)," ± ",ROUND(VLOOKUP($A180,$A$2:$V$110,14,FALSE),2))</f>
        <v>-0,35 ± 0,26</v>
      </c>
      <c r="J180" s="15" t="str">
        <f>CONCATENATE(ROUND(VLOOKUP($A180,$A$2:$V$110,15,FALSE),2),"; ",ROUND(VLOOKUP($A180,$A$2:$V$110,16,FALSE),2))</f>
        <v>-0,39; -0,31</v>
      </c>
      <c r="K180" s="16">
        <f>VLOOKUP($A180,$A$2:$V$110,17,FALSE)</f>
        <v>-0.303651225</v>
      </c>
      <c r="L180" s="15" t="str">
        <f>CONCATENATE(ROUND(VLOOKUP($A180,$A$2:$V$110,18,FALSE),2),"; ",ROUND(VLOOKUP($A180,$A$2:$V$110,19,FALSE),2))</f>
        <v>-0,51; -0,16</v>
      </c>
      <c r="M180" s="15" t="str">
        <f>CONCATENATE(ROUND(VLOOKUP($A180,$A$2:$V$110,20,FALSE),2),"; ",ROUND(VLOOKUP($A180,$A$2:$V$110,21,FALSE),2))</f>
        <v>-0,95; -0,02</v>
      </c>
      <c r="N180" s="15">
        <f>VLOOKUP($A180,$A$2:$V$110,22,FALSE)</f>
        <v>1.7153013610194e-52</v>
      </c>
      <c r="O180" s="21">
        <v>1.93024481895602e-57</v>
      </c>
      <c r="P180" s="21">
        <v>4.28381768942824e-54</v>
      </c>
      <c r="Q180" s="21">
        <v>1.56562307611998e-54</v>
      </c>
      <c r="R180" s="21">
        <v>3.14881870420233e-54</v>
      </c>
    </row>
    <row r="181" ht="14" spans="1:18">
      <c r="A181" s="2" t="s">
        <v>648</v>
      </c>
      <c r="B181" s="14">
        <f t="shared" ref="B181:B207" si="24">VLOOKUP($A181,$A$2:$V$110,2,FALSE)</f>
        <v>156</v>
      </c>
      <c r="C181" s="15" t="str">
        <f t="shared" ref="C181:C207" si="25">CONCATENATE(ROUND(VLOOKUP($A181,$A$2:$V$110,3,FALSE),2)," ± ",ROUND(VLOOKUP($A181,$A$2:$V$110,4,FALSE),2))</f>
        <v>39,42 ± 10,74</v>
      </c>
      <c r="D181" s="15" t="e">
        <f>CONCATENATE(ROUND(VLOOKUP($A181,$A$2:$V$110,5,FALSE),2),"; ",ROUND(VLOOKUP($A$116,$A67:$V$110,6,FALSE),2))</f>
        <v>#N/A</v>
      </c>
      <c r="E181" s="16">
        <f t="shared" ref="E181:E207" si="26">ROUND(VLOOKUP($A181,$A$2:$V$110,7,FALSE),2)</f>
        <v>39.5</v>
      </c>
      <c r="F181" s="15" t="str">
        <f t="shared" ref="F181:F207" si="27">CONCATENATE(ROUND(VLOOKUP($A181,$A$2:$V$110,8,FALSE),2),"; ",ROUND(VLOOKUP($A181,$A$2:$V$110,9,FALSE),2))</f>
        <v>29; 48</v>
      </c>
      <c r="G181" s="15" t="str">
        <f t="shared" ref="G181:G207" si="28">CONCATENATE(ROUND(VLOOKUP($A181,$A$2:$V$110,10,FALSE),2),"; ",ROUND(VLOOKUP($A181,$A$2:$V$110,11,FALSE),2))</f>
        <v>22; 59</v>
      </c>
      <c r="H181" s="14">
        <f t="shared" ref="H181:H207" si="29">VLOOKUP($A181,$A$2:$V$110,12,FALSE)</f>
        <v>155</v>
      </c>
      <c r="I181" s="15" t="str">
        <f t="shared" ref="I181:I207" si="30">CONCATENATE(ROUND(VLOOKUP($A181,$A$2:$V$110,13,FALSE),2)," ± ",ROUND(VLOOKUP($A181,$A$2:$V$110,14,FALSE),2))</f>
        <v>41,43 ± 11,12</v>
      </c>
      <c r="J181" s="15" t="str">
        <f t="shared" ref="J181:J207" si="31">CONCATENATE(ROUND(VLOOKUP($A181,$A$2:$V$110,15,FALSE),2),"; ",ROUND(VLOOKUP($A181,$A$2:$V$110,16,FALSE),2))</f>
        <v>39,68; 43,18</v>
      </c>
      <c r="K181" s="16">
        <f t="shared" ref="K181:K207" si="32">VLOOKUP($A181,$A$2:$V$110,17,FALSE)</f>
        <v>43</v>
      </c>
      <c r="L181" s="22" t="str">
        <f t="shared" ref="L181:L207" si="33">CONCATENATE(ROUND(VLOOKUP($A181,$A$2:$V$110,18,FALSE),2),"; ",ROUND(VLOOKUP($A181,$A$2:$V$110,19,FALSE),2))</f>
        <v>32; 51</v>
      </c>
      <c r="M181" s="15" t="str">
        <f t="shared" ref="M181:M207" si="34">CONCATENATE(ROUND(VLOOKUP($A181,$A$2:$V$110,20,FALSE),2),"; ",ROUND(VLOOKUP($A181,$A$2:$V$110,21,FALSE),2))</f>
        <v>21; 60</v>
      </c>
      <c r="N181" s="15">
        <f t="shared" ref="N181:N207" si="35">VLOOKUP($A181,$A$2:$V$110,22,FALSE)</f>
        <v>0.0876869083406212</v>
      </c>
      <c r="O181" s="21">
        <v>0.0491981277018524</v>
      </c>
      <c r="P181" s="21">
        <v>0.917067940999721</v>
      </c>
      <c r="Q181" s="21">
        <v>0.900449998992932</v>
      </c>
      <c r="R181" s="21">
        <v>0.867311805184066</v>
      </c>
    </row>
    <row r="182" ht="14" spans="1:18">
      <c r="A182" s="2" t="s">
        <v>236</v>
      </c>
      <c r="B182" s="14">
        <f t="shared" si="24"/>
        <v>156</v>
      </c>
      <c r="C182" s="15" t="str">
        <f t="shared" si="25"/>
        <v>1038,9 ± 868,74</v>
      </c>
      <c r="D182" s="15" t="e">
        <f>CONCATENATE(ROUND(VLOOKUP($A182,$A$2:$V$110,5,FALSE),2),"; ",ROUND(VLOOKUP($A$116,$A68:$V$110,6,FALSE),2))</f>
        <v>#N/A</v>
      </c>
      <c r="E182" s="16">
        <f t="shared" si="26"/>
        <v>802.21</v>
      </c>
      <c r="F182" s="15" t="str">
        <f t="shared" si="27"/>
        <v>523,35; 1169,66</v>
      </c>
      <c r="G182" s="15" t="str">
        <f t="shared" si="28"/>
        <v>186,6; 3386,75</v>
      </c>
      <c r="H182" s="14">
        <f t="shared" si="29"/>
        <v>155</v>
      </c>
      <c r="I182" s="15" t="str">
        <f t="shared" si="30"/>
        <v>1365,71 ± 846,62</v>
      </c>
      <c r="J182" s="15" t="str">
        <f t="shared" si="31"/>
        <v>1232,42; 1498,99</v>
      </c>
      <c r="K182" s="16">
        <f t="shared" si="32"/>
        <v>1230.02</v>
      </c>
      <c r="L182" s="15" t="str">
        <f t="shared" si="33"/>
        <v>763,43; 1645,29</v>
      </c>
      <c r="M182" s="15" t="str">
        <f t="shared" si="34"/>
        <v>377,73; 3152,64</v>
      </c>
      <c r="N182" s="15">
        <f t="shared" si="35"/>
        <v>8.46324974320198e-7</v>
      </c>
      <c r="O182" s="21">
        <v>1.24549734180294e-5</v>
      </c>
      <c r="P182" s="21">
        <v>4.5652089561811e-5</v>
      </c>
      <c r="Q182" s="21">
        <v>5.01236562680532e-5</v>
      </c>
      <c r="R182" s="21">
        <v>5.42397165710994e-5</v>
      </c>
    </row>
    <row r="183" ht="14" spans="1:18">
      <c r="A183" s="2" t="s">
        <v>657</v>
      </c>
      <c r="B183" s="14">
        <f t="shared" si="24"/>
        <v>156</v>
      </c>
      <c r="C183" s="15" t="str">
        <f t="shared" si="25"/>
        <v>74,93 ± 14,88</v>
      </c>
      <c r="D183" s="15" t="e">
        <f>CONCATENATE(ROUND(VLOOKUP($A183,$A$2:$V$110,5,FALSE),2),"; ",ROUND(VLOOKUP($A$116,$A69:$V$110,6,FALSE),2))</f>
        <v>#N/A</v>
      </c>
      <c r="E183" s="16">
        <f t="shared" si="26"/>
        <v>74</v>
      </c>
      <c r="F183" s="15" t="str">
        <f t="shared" si="27"/>
        <v>63,8; 84,95</v>
      </c>
      <c r="G183" s="15" t="str">
        <f t="shared" si="28"/>
        <v>50,93; 104,39</v>
      </c>
      <c r="H183" s="14">
        <f t="shared" si="29"/>
        <v>155</v>
      </c>
      <c r="I183" s="15" t="str">
        <f t="shared" si="30"/>
        <v>73,07 ± 15,28</v>
      </c>
      <c r="J183" s="15" t="str">
        <f t="shared" si="31"/>
        <v>70,66; 75,47</v>
      </c>
      <c r="K183" s="16">
        <f t="shared" si="32"/>
        <v>70.4</v>
      </c>
      <c r="L183" s="15" t="str">
        <f t="shared" si="33"/>
        <v>61,4; 82,25</v>
      </c>
      <c r="M183" s="15" t="str">
        <f t="shared" si="34"/>
        <v>47,88; 103,41</v>
      </c>
      <c r="N183" s="15">
        <f t="shared" si="35"/>
        <v>0.182908068521473</v>
      </c>
      <c r="O183" s="21">
        <v>0.285131284290369</v>
      </c>
      <c r="P183" s="21">
        <v>0.138977041109988</v>
      </c>
      <c r="Q183" s="21">
        <v>0.0961482183366193</v>
      </c>
      <c r="R183" s="21">
        <v>0.0889475125376911</v>
      </c>
    </row>
    <row r="184" ht="16" spans="1:18">
      <c r="A184" s="2" t="s">
        <v>658</v>
      </c>
      <c r="B184" s="14">
        <f t="shared" si="24"/>
        <v>156</v>
      </c>
      <c r="C184" s="15" t="str">
        <f t="shared" si="25"/>
        <v>28,07 ± 4,74</v>
      </c>
      <c r="D184" s="15" t="e">
        <f>CONCATENATE(ROUND(VLOOKUP($A184,$A$2:$V$110,5,FALSE),2),"; ",ROUND(VLOOKUP($A$116,$A70:$V$110,6,FALSE),2))</f>
        <v>#N/A</v>
      </c>
      <c r="E184" s="16">
        <f t="shared" si="26"/>
        <v>27.57</v>
      </c>
      <c r="F184" s="15" t="str">
        <f t="shared" si="27"/>
        <v>24,38; 31,33</v>
      </c>
      <c r="G184" s="15" t="str">
        <f t="shared" si="28"/>
        <v>20,38; 38,01</v>
      </c>
      <c r="H184" s="14">
        <f t="shared" si="29"/>
        <v>155</v>
      </c>
      <c r="I184" s="15" t="str">
        <f t="shared" si="30"/>
        <v>27,04 ± 4,67</v>
      </c>
      <c r="J184" s="15" t="str">
        <f t="shared" si="31"/>
        <v>26,3; 27,77</v>
      </c>
      <c r="K184" s="16">
        <f t="shared" si="32"/>
        <v>26.26</v>
      </c>
      <c r="L184" s="15" t="str">
        <f t="shared" si="33"/>
        <v>23,93; 29,81</v>
      </c>
      <c r="M184" s="15" t="str">
        <f t="shared" si="34"/>
        <v>20,33; 36,55</v>
      </c>
      <c r="N184" s="15">
        <f t="shared" si="35"/>
        <v>0.0511969883625478</v>
      </c>
      <c r="O184" s="21">
        <v>0.104198959542687</v>
      </c>
      <c r="P184" s="21">
        <v>0.163358600723822</v>
      </c>
      <c r="Q184" s="21">
        <v>0.113480926619661</v>
      </c>
      <c r="R184" s="21">
        <v>0.104717256377418</v>
      </c>
    </row>
    <row r="185" ht="14" spans="1:18">
      <c r="A185" s="2" t="s">
        <v>663</v>
      </c>
      <c r="B185" s="14">
        <f t="shared" si="24"/>
        <v>156</v>
      </c>
      <c r="C185" s="15" t="str">
        <f t="shared" si="25"/>
        <v>93,21 ± 12,83</v>
      </c>
      <c r="D185" s="15" t="e">
        <f>CONCATENATE(ROUND(VLOOKUP($A185,$A$2:$V$110,5,FALSE),2),"; ",ROUND(VLOOKUP($A$116,$A71:$V$110,6,FALSE),2))</f>
        <v>#N/A</v>
      </c>
      <c r="E185" s="16">
        <f t="shared" si="26"/>
        <v>92.8</v>
      </c>
      <c r="F185" s="15" t="str">
        <f t="shared" si="27"/>
        <v>83,18; 101,4</v>
      </c>
      <c r="G185" s="15" t="str">
        <f t="shared" si="28"/>
        <v>69,88; 118,48</v>
      </c>
      <c r="H185" s="14">
        <f t="shared" si="29"/>
        <v>155</v>
      </c>
      <c r="I185" s="15" t="str">
        <f t="shared" si="30"/>
        <v>91,12 ± 13,08</v>
      </c>
      <c r="J185" s="15" t="str">
        <f t="shared" si="31"/>
        <v>89,06; 93,18</v>
      </c>
      <c r="K185" s="16">
        <f t="shared" si="32"/>
        <v>89.7</v>
      </c>
      <c r="L185" s="15" t="str">
        <f t="shared" si="33"/>
        <v>81,2; 98,85</v>
      </c>
      <c r="M185" s="15" t="str">
        <f t="shared" si="34"/>
        <v>71,63; 118,51</v>
      </c>
      <c r="N185" s="15">
        <f t="shared" si="35"/>
        <v>0.0993972516946935</v>
      </c>
      <c r="O185" s="21">
        <v>0.211143136455383</v>
      </c>
      <c r="P185" s="21">
        <v>0.0351221965761837</v>
      </c>
      <c r="Q185" s="21">
        <v>0.0233950521289662</v>
      </c>
      <c r="R185" s="21">
        <v>0.0193836636265978</v>
      </c>
    </row>
    <row r="186" ht="14" spans="1:18">
      <c r="A186" s="2" t="s">
        <v>14</v>
      </c>
      <c r="B186" s="14">
        <f t="shared" si="24"/>
        <v>156</v>
      </c>
      <c r="C186" s="15" t="str">
        <f t="shared" si="25"/>
        <v>34,87 ± 7,25</v>
      </c>
      <c r="D186" s="15" t="e">
        <f>CONCATENATE(ROUND(VLOOKUP($A186,$A$2:$V$110,5,FALSE),2),"; ",ROUND(VLOOKUP($A$116,$A72:$V$110,6,FALSE),2))</f>
        <v>#N/A</v>
      </c>
      <c r="E186" s="16">
        <f t="shared" si="26"/>
        <v>35.15</v>
      </c>
      <c r="F186" s="15" t="str">
        <f t="shared" si="27"/>
        <v>29,05; 40,38</v>
      </c>
      <c r="G186" s="15" t="str">
        <f t="shared" si="28"/>
        <v>21,17; 47,94</v>
      </c>
      <c r="H186" s="14">
        <f t="shared" si="29"/>
        <v>155</v>
      </c>
      <c r="I186" s="15" t="str">
        <f t="shared" si="30"/>
        <v>32,72 ± 7,08</v>
      </c>
      <c r="J186" s="15" t="str">
        <f t="shared" si="31"/>
        <v>31,6; 33,83</v>
      </c>
      <c r="K186" s="16">
        <f t="shared" si="32"/>
        <v>32.79</v>
      </c>
      <c r="L186" s="15" t="str">
        <f t="shared" si="33"/>
        <v>27,62; 38</v>
      </c>
      <c r="M186" s="15" t="str">
        <f t="shared" si="34"/>
        <v>18,39; 45,06</v>
      </c>
      <c r="N186" s="15">
        <f t="shared" si="35"/>
        <v>0.0165050176059273</v>
      </c>
      <c r="O186" s="21">
        <v>0.0114740984544346</v>
      </c>
      <c r="P186" s="21">
        <v>0.0344549852325604</v>
      </c>
      <c r="Q186" s="21">
        <v>0.0220830664656566</v>
      </c>
      <c r="R186" s="21">
        <v>0.0193836636265978</v>
      </c>
    </row>
    <row r="187" ht="14" spans="1:18">
      <c r="A187" s="2" t="s">
        <v>672</v>
      </c>
      <c r="B187" s="14">
        <f t="shared" si="24"/>
        <v>156</v>
      </c>
      <c r="C187" s="15" t="str">
        <f t="shared" si="25"/>
        <v>7,33 ± 6,59</v>
      </c>
      <c r="D187" s="15" t="e">
        <f>CONCATENATE(ROUND(VLOOKUP($A187,$A$2:$V$110,5,FALSE),2),"; ",ROUND(VLOOKUP($A$116,$A73:$V$110,6,FALSE),2))</f>
        <v>#N/A</v>
      </c>
      <c r="E187" s="16">
        <f t="shared" si="26"/>
        <v>5.83</v>
      </c>
      <c r="F187" s="15" t="str">
        <f t="shared" si="27"/>
        <v>2,52; 10,17</v>
      </c>
      <c r="G187" s="15" t="str">
        <f t="shared" si="28"/>
        <v>0,44; 22,49</v>
      </c>
      <c r="H187" s="14">
        <f t="shared" si="29"/>
        <v>155</v>
      </c>
      <c r="I187" s="15" t="str">
        <f t="shared" si="30"/>
        <v>6,23 ± 5,54</v>
      </c>
      <c r="J187" s="15" t="str">
        <f t="shared" si="31"/>
        <v>5,35; 7,1</v>
      </c>
      <c r="K187" s="16">
        <f t="shared" si="32"/>
        <v>4.66</v>
      </c>
      <c r="L187" s="15" t="str">
        <f t="shared" si="33"/>
        <v>1,93; 8,76</v>
      </c>
      <c r="M187" s="15" t="str">
        <f t="shared" si="34"/>
        <v>0,47; 20,55</v>
      </c>
      <c r="N187" s="15">
        <f t="shared" si="35"/>
        <v>0.131127813632237</v>
      </c>
      <c r="O187" s="21">
        <v>0.0527170775913748</v>
      </c>
      <c r="P187" s="21">
        <v>0.520409802748222</v>
      </c>
      <c r="Q187" s="21">
        <v>0.409040167987263</v>
      </c>
      <c r="R187" s="21">
        <v>0.393617188180451</v>
      </c>
    </row>
    <row r="188" ht="14" spans="1:18">
      <c r="A188" s="2" t="s">
        <v>677</v>
      </c>
      <c r="B188" s="14">
        <f t="shared" si="24"/>
        <v>156</v>
      </c>
      <c r="C188" s="15" t="str">
        <f t="shared" si="25"/>
        <v>6,3 ± 3,37</v>
      </c>
      <c r="D188" s="15" t="e">
        <f>CONCATENATE(ROUND(VLOOKUP($A188,$A$2:$V$110,5,FALSE),2),"; ",ROUND(VLOOKUP($A$116,$A74:$V$110,6,FALSE),2))</f>
        <v>#N/A</v>
      </c>
      <c r="E188" s="16">
        <f t="shared" si="26"/>
        <v>5.69</v>
      </c>
      <c r="F188" s="15" t="str">
        <f t="shared" si="27"/>
        <v>3,99; 7,87</v>
      </c>
      <c r="G188" s="15" t="str">
        <f t="shared" si="28"/>
        <v>1,73; 14,32</v>
      </c>
      <c r="H188" s="14">
        <f t="shared" si="29"/>
        <v>155</v>
      </c>
      <c r="I188" s="15" t="str">
        <f t="shared" si="30"/>
        <v>7,08 ± 4,42</v>
      </c>
      <c r="J188" s="15" t="str">
        <f t="shared" si="31"/>
        <v>6,38; 7,77</v>
      </c>
      <c r="K188" s="16">
        <f t="shared" si="32"/>
        <v>6.17</v>
      </c>
      <c r="L188" s="15" t="str">
        <f t="shared" si="33"/>
        <v>3,99; 8,77</v>
      </c>
      <c r="M188" s="15" t="str">
        <f t="shared" si="34"/>
        <v>1,7; 17,49</v>
      </c>
      <c r="N188" s="15">
        <f t="shared" si="35"/>
        <v>0.236296946935412</v>
      </c>
      <c r="O188" s="21">
        <v>0.133792030459098</v>
      </c>
      <c r="P188" s="21">
        <v>0.0351221965761837</v>
      </c>
      <c r="Q188" s="21">
        <v>0.0306107986434531</v>
      </c>
      <c r="R188" s="21">
        <v>0.0321936468928788</v>
      </c>
    </row>
    <row r="189" ht="14" spans="1:18">
      <c r="A189" s="2" t="s">
        <v>303</v>
      </c>
      <c r="B189" s="14">
        <f t="shared" si="24"/>
        <v>156</v>
      </c>
      <c r="C189" s="15" t="str">
        <f t="shared" si="25"/>
        <v>1,56 ± 2,21</v>
      </c>
      <c r="D189" s="15" t="e">
        <f>CONCATENATE(ROUND(VLOOKUP($A189,$A$2:$V$110,5,FALSE),2),"; ",ROUND(VLOOKUP($A$116,$A75:$V$110,6,FALSE),2))</f>
        <v>#N/A</v>
      </c>
      <c r="E189" s="16">
        <f t="shared" si="26"/>
        <v>0.9</v>
      </c>
      <c r="F189" s="15" t="str">
        <f t="shared" si="27"/>
        <v>0,45; 1,74</v>
      </c>
      <c r="G189" s="15" t="str">
        <f t="shared" si="28"/>
        <v>0,07; 6,6</v>
      </c>
      <c r="H189" s="14">
        <f t="shared" si="29"/>
        <v>155</v>
      </c>
      <c r="I189" s="15" t="str">
        <f t="shared" si="30"/>
        <v>1,28 ± 3,15</v>
      </c>
      <c r="J189" s="15" t="str">
        <f t="shared" si="31"/>
        <v>0,78; 1,77</v>
      </c>
      <c r="K189" s="16">
        <f t="shared" si="32"/>
        <v>0.76</v>
      </c>
      <c r="L189" s="15" t="str">
        <f t="shared" si="33"/>
        <v>0,34; 1,4</v>
      </c>
      <c r="M189" s="15" t="str">
        <f t="shared" si="34"/>
        <v>0,08; 3,82</v>
      </c>
      <c r="N189" s="15">
        <f t="shared" si="35"/>
        <v>0.0453284057823927</v>
      </c>
      <c r="O189" s="21">
        <v>0.00635034777964277</v>
      </c>
      <c r="P189" s="21">
        <v>0.101376794658449</v>
      </c>
      <c r="Q189" s="21">
        <v>0.0724030094452985</v>
      </c>
      <c r="R189" s="21">
        <v>0.0704873091065833</v>
      </c>
    </row>
    <row r="190" ht="14" spans="1:18">
      <c r="A190" s="2" t="s">
        <v>686</v>
      </c>
      <c r="B190" s="14">
        <f t="shared" si="24"/>
        <v>156</v>
      </c>
      <c r="C190" s="15" t="str">
        <f t="shared" si="25"/>
        <v>101,54 ± 55,54</v>
      </c>
      <c r="D190" s="15" t="e">
        <f>CONCATENATE(ROUND(VLOOKUP($A190,$A$2:$V$110,5,FALSE),2),"; ",ROUND(VLOOKUP($A$116,$A76:$V$110,6,FALSE),2))</f>
        <v>#N/A</v>
      </c>
      <c r="E190" s="16">
        <f t="shared" si="26"/>
        <v>94.8</v>
      </c>
      <c r="F190" s="15" t="str">
        <f t="shared" si="27"/>
        <v>79,53; 114,25</v>
      </c>
      <c r="G190" s="15" t="str">
        <f t="shared" si="28"/>
        <v>52,44; 163,75</v>
      </c>
      <c r="H190" s="14">
        <f t="shared" si="29"/>
        <v>155</v>
      </c>
      <c r="I190" s="15" t="str">
        <f t="shared" si="30"/>
        <v>91,34 ± 27,12</v>
      </c>
      <c r="J190" s="15" t="str">
        <f t="shared" si="31"/>
        <v>87,07; 95,61</v>
      </c>
      <c r="K190" s="16">
        <f t="shared" si="32"/>
        <v>90.3</v>
      </c>
      <c r="L190" s="15" t="str">
        <f t="shared" si="33"/>
        <v>75,85; 103</v>
      </c>
      <c r="M190" s="15" t="str">
        <f t="shared" si="34"/>
        <v>46,94; 152,95</v>
      </c>
      <c r="N190" s="15">
        <f t="shared" si="35"/>
        <v>0.0405976596167595</v>
      </c>
      <c r="O190" s="21">
        <v>0.133792030459098</v>
      </c>
      <c r="P190" s="21">
        <v>0.0412324327416459</v>
      </c>
      <c r="Q190" s="21">
        <v>0.0335405508934231</v>
      </c>
      <c r="R190" s="21">
        <v>0.0331247318910996</v>
      </c>
    </row>
    <row r="191" ht="14" spans="1:18">
      <c r="A191" s="2" t="s">
        <v>691</v>
      </c>
      <c r="B191" s="14">
        <f t="shared" si="24"/>
        <v>156</v>
      </c>
      <c r="C191" s="15" t="str">
        <f t="shared" si="25"/>
        <v>44,81 ± 12,91</v>
      </c>
      <c r="D191" s="15" t="e">
        <f>CONCATENATE(ROUND(VLOOKUP($A191,$A$2:$V$110,5,FALSE),2),"; ",ROUND(VLOOKUP($A$116,$A77:$V$110,6,FALSE),2))</f>
        <v>#N/A</v>
      </c>
      <c r="E191" s="16">
        <f t="shared" si="26"/>
        <v>43</v>
      </c>
      <c r="F191" s="15" t="str">
        <f t="shared" si="27"/>
        <v>36; 52</v>
      </c>
      <c r="G191" s="15" t="str">
        <f t="shared" si="28"/>
        <v>25,88; 73</v>
      </c>
      <c r="H191" s="14">
        <f t="shared" si="29"/>
        <v>155</v>
      </c>
      <c r="I191" s="15" t="str">
        <f t="shared" si="30"/>
        <v>47,19 ± 15,64</v>
      </c>
      <c r="J191" s="15" t="str">
        <f t="shared" si="31"/>
        <v>44,73; 49,66</v>
      </c>
      <c r="K191" s="16">
        <f t="shared" si="32"/>
        <v>45</v>
      </c>
      <c r="L191" s="15" t="str">
        <f t="shared" si="33"/>
        <v>37,5; 54</v>
      </c>
      <c r="M191" s="15" t="str">
        <f t="shared" si="34"/>
        <v>26,7; 87,45</v>
      </c>
      <c r="N191" s="15">
        <f t="shared" si="35"/>
        <v>0.169631571119271</v>
      </c>
      <c r="O191" s="21">
        <v>0.133792030459098</v>
      </c>
      <c r="P191" s="21">
        <v>0.0140559970880067</v>
      </c>
      <c r="Q191" s="21">
        <v>0.0129566648963904</v>
      </c>
      <c r="R191" s="21">
        <v>0.0118026968723731</v>
      </c>
    </row>
    <row r="192" ht="14" spans="1:18">
      <c r="A192" s="2" t="s">
        <v>696</v>
      </c>
      <c r="B192" s="14">
        <f t="shared" si="24"/>
        <v>156</v>
      </c>
      <c r="C192" s="15" t="str">
        <f t="shared" si="25"/>
        <v>29,47 ± 19,86</v>
      </c>
      <c r="D192" s="15" t="e">
        <f>CONCATENATE(ROUND(VLOOKUP($A192,$A$2:$V$110,5,FALSE),2),"; ",ROUND(VLOOKUP($A$116,$A78:$V$110,6,FALSE),2))</f>
        <v>#N/A</v>
      </c>
      <c r="E192" s="16">
        <f t="shared" si="26"/>
        <v>25</v>
      </c>
      <c r="F192" s="15" t="str">
        <f t="shared" si="27"/>
        <v>18; 36,05</v>
      </c>
      <c r="G192" s="15" t="str">
        <f t="shared" si="28"/>
        <v>10; 88,08</v>
      </c>
      <c r="H192" s="14">
        <f t="shared" si="29"/>
        <v>155</v>
      </c>
      <c r="I192" s="15" t="str">
        <f t="shared" si="30"/>
        <v>29,75 ± 22,75</v>
      </c>
      <c r="J192" s="15" t="str">
        <f t="shared" si="31"/>
        <v>26,17; 33,33</v>
      </c>
      <c r="K192" s="16">
        <f t="shared" si="32"/>
        <v>24.6</v>
      </c>
      <c r="L192" s="15" t="str">
        <f t="shared" si="33"/>
        <v>16,4; 34,5</v>
      </c>
      <c r="M192" s="15" t="str">
        <f t="shared" si="34"/>
        <v>8; 78,34</v>
      </c>
      <c r="N192" s="15">
        <f t="shared" si="35"/>
        <v>0.753925616610203</v>
      </c>
      <c r="O192" s="21">
        <v>0.884216850176303</v>
      </c>
      <c r="P192" s="21">
        <v>0.165014961468054</v>
      </c>
      <c r="Q192" s="21">
        <v>0.144344772286663</v>
      </c>
      <c r="R192" s="21">
        <v>0.136268404335269</v>
      </c>
    </row>
    <row r="193" ht="14" spans="1:18">
      <c r="A193" s="2" t="s">
        <v>701</v>
      </c>
      <c r="B193" s="14">
        <f t="shared" si="24"/>
        <v>154</v>
      </c>
      <c r="C193" s="15" t="str">
        <f t="shared" si="25"/>
        <v>115,5 ± 28,97</v>
      </c>
      <c r="D193" s="15" t="e">
        <f>CONCATENATE(ROUND(VLOOKUP($A193,$A$2:$V$110,5,FALSE),2),"; ",ROUND(VLOOKUP($A$116,$A79:$V$110,6,FALSE),2))</f>
        <v>#N/A</v>
      </c>
      <c r="E193" s="16">
        <f t="shared" si="26"/>
        <v>113</v>
      </c>
      <c r="F193" s="15" t="str">
        <f t="shared" si="27"/>
        <v>96; 134,75</v>
      </c>
      <c r="G193" s="15" t="str">
        <f t="shared" si="28"/>
        <v>64,48; 171</v>
      </c>
      <c r="H193" s="14">
        <f t="shared" si="29"/>
        <v>155</v>
      </c>
      <c r="I193" s="15" t="str">
        <f t="shared" si="30"/>
        <v>114,71 ± 31,28</v>
      </c>
      <c r="J193" s="15" t="str">
        <f t="shared" si="31"/>
        <v>109,78; 119,63</v>
      </c>
      <c r="K193" s="16">
        <f t="shared" si="32"/>
        <v>112</v>
      </c>
      <c r="L193" s="15" t="str">
        <f t="shared" si="33"/>
        <v>93; 134,5</v>
      </c>
      <c r="M193" s="15" t="str">
        <f t="shared" si="34"/>
        <v>62,55; 176,35</v>
      </c>
      <c r="N193" s="15">
        <f t="shared" si="35"/>
        <v>0.741028648090311</v>
      </c>
      <c r="O193" s="21">
        <v>0.884216850176303</v>
      </c>
      <c r="P193" s="21">
        <v>0.623598121100411</v>
      </c>
      <c r="Q193" s="21">
        <v>0.616974687411471</v>
      </c>
      <c r="R193" s="21">
        <v>0.630598585923807</v>
      </c>
    </row>
    <row r="194" ht="14" spans="1:18">
      <c r="A194" s="2" t="s">
        <v>706</v>
      </c>
      <c r="B194" s="14">
        <f t="shared" si="24"/>
        <v>156</v>
      </c>
      <c r="C194" s="15" t="str">
        <f t="shared" si="25"/>
        <v>187,01 ± 33,25</v>
      </c>
      <c r="D194" s="15" t="e">
        <f>CONCATENATE(ROUND(VLOOKUP($A194,$A$2:$V$110,5,FALSE),2),"; ",ROUND(VLOOKUP($A$116,$A80:$V$110,6,FALSE),2))</f>
        <v>#N/A</v>
      </c>
      <c r="E194" s="16">
        <f t="shared" si="26"/>
        <v>184</v>
      </c>
      <c r="F194" s="15" t="str">
        <f t="shared" si="27"/>
        <v>165; 208,25</v>
      </c>
      <c r="G194" s="15" t="str">
        <f t="shared" si="28"/>
        <v>128,88; 253,25</v>
      </c>
      <c r="H194" s="14">
        <f t="shared" si="29"/>
        <v>155</v>
      </c>
      <c r="I194" s="15" t="str">
        <f t="shared" si="30"/>
        <v>186,86 ± 35,78</v>
      </c>
      <c r="J194" s="15" t="str">
        <f t="shared" si="31"/>
        <v>181,22; 192,49</v>
      </c>
      <c r="K194" s="16">
        <f t="shared" si="32"/>
        <v>187</v>
      </c>
      <c r="L194" s="15" t="str">
        <f t="shared" si="33"/>
        <v>163; 209,5</v>
      </c>
      <c r="M194" s="15" t="str">
        <f t="shared" si="34"/>
        <v>121,25; 260</v>
      </c>
      <c r="N194" s="15">
        <f t="shared" si="35"/>
        <v>0.963782775221787</v>
      </c>
      <c r="O194" s="21">
        <v>0.885962025142087</v>
      </c>
      <c r="P194" s="21">
        <v>0.861415408342021</v>
      </c>
      <c r="Q194" s="21">
        <v>0.847238420850901</v>
      </c>
      <c r="R194" s="21">
        <v>0.848625307443605</v>
      </c>
    </row>
    <row r="195" ht="14" spans="1:18">
      <c r="A195" s="2" t="s">
        <v>711</v>
      </c>
      <c r="B195" s="14">
        <f t="shared" si="24"/>
        <v>156</v>
      </c>
      <c r="C195" s="15" t="str">
        <f t="shared" si="25"/>
        <v>148,38 ± 99,05</v>
      </c>
      <c r="D195" s="15" t="e">
        <f>CONCATENATE(ROUND(VLOOKUP($A195,$A$2:$V$110,5,FALSE),2),"; ",ROUND(VLOOKUP($A$116,$A81:$V$110,6,FALSE),2))</f>
        <v>#N/A</v>
      </c>
      <c r="E195" s="16">
        <f t="shared" si="26"/>
        <v>125</v>
      </c>
      <c r="F195" s="15" t="str">
        <f t="shared" si="27"/>
        <v>90,5; 180,25</v>
      </c>
      <c r="G195" s="15" t="str">
        <f t="shared" si="28"/>
        <v>51; 440,38</v>
      </c>
      <c r="H195" s="14">
        <f t="shared" si="29"/>
        <v>155</v>
      </c>
      <c r="I195" s="15" t="str">
        <f t="shared" si="30"/>
        <v>146,94 ± 113,33</v>
      </c>
      <c r="J195" s="15" t="str">
        <f t="shared" si="31"/>
        <v>129,09; 164,78</v>
      </c>
      <c r="K195" s="16">
        <f t="shared" si="32"/>
        <v>122</v>
      </c>
      <c r="L195" s="15" t="str">
        <f t="shared" si="33"/>
        <v>81,5; 168</v>
      </c>
      <c r="M195" s="15" t="str">
        <f t="shared" si="34"/>
        <v>39,85; 391,7</v>
      </c>
      <c r="N195" s="15">
        <f t="shared" si="35"/>
        <v>0.51843769249375</v>
      </c>
      <c r="O195" s="21">
        <v>0.720668180951496</v>
      </c>
      <c r="P195" s="21">
        <v>0.108032468940229</v>
      </c>
      <c r="Q195" s="21">
        <v>0.0908751101248857</v>
      </c>
      <c r="R195" s="21">
        <v>0.087226892530898</v>
      </c>
    </row>
    <row r="196" ht="14" spans="1:18">
      <c r="A196" s="2" t="s">
        <v>49</v>
      </c>
      <c r="B196" s="14">
        <f t="shared" si="24"/>
        <v>156</v>
      </c>
      <c r="C196" s="15" t="str">
        <f t="shared" si="25"/>
        <v>4,51 ± 1,63</v>
      </c>
      <c r="D196" s="15" t="e">
        <f>CONCATENATE(ROUND(VLOOKUP($A196,$A$2:$V$110,5,FALSE),2),"; ",ROUND(VLOOKUP($A$116,$A82:$V$110,6,FALSE),2))</f>
        <v>#N/A</v>
      </c>
      <c r="E196" s="16">
        <f t="shared" si="26"/>
        <v>4.31</v>
      </c>
      <c r="F196" s="15" t="str">
        <f t="shared" si="27"/>
        <v>3,45; 5,25</v>
      </c>
      <c r="G196" s="15" t="str">
        <f t="shared" si="28"/>
        <v>2,38; 7,75</v>
      </c>
      <c r="H196" s="14">
        <f t="shared" si="29"/>
        <v>155</v>
      </c>
      <c r="I196" s="15" t="str">
        <f t="shared" si="30"/>
        <v>4,31 ± 1,51</v>
      </c>
      <c r="J196" s="15" t="str">
        <f t="shared" si="31"/>
        <v>4,07; 4,55</v>
      </c>
      <c r="K196" s="16">
        <f t="shared" si="32"/>
        <v>3.98</v>
      </c>
      <c r="L196" s="15" t="str">
        <f t="shared" si="33"/>
        <v>3,29; 5,01</v>
      </c>
      <c r="M196" s="15" t="str">
        <f t="shared" si="34"/>
        <v>2,17; 7,71</v>
      </c>
      <c r="N196" s="15">
        <f t="shared" si="35"/>
        <v>0.189417627257282</v>
      </c>
      <c r="O196" s="21">
        <v>0.214531812351998</v>
      </c>
      <c r="P196" s="21">
        <v>0.0206338022324554</v>
      </c>
      <c r="Q196" s="21">
        <v>0.0190612930144145</v>
      </c>
      <c r="R196" s="21">
        <v>0.0179956547014226</v>
      </c>
    </row>
    <row r="197" ht="14" hidden="1" spans="1:18">
      <c r="A197" s="2" t="s">
        <v>365</v>
      </c>
      <c r="B197" s="14">
        <f t="shared" si="24"/>
        <v>156</v>
      </c>
      <c r="C197" s="15" t="str">
        <f t="shared" si="25"/>
        <v>0,47 ± 0,31</v>
      </c>
      <c r="D197" s="15" t="e">
        <f>CONCATENATE(ROUND(VLOOKUP($A197,$A$2:$V$110,5,FALSE),2),"; ",ROUND(VLOOKUP($A$116,$A83:$V$110,6,FALSE),2))</f>
        <v>#N/A</v>
      </c>
      <c r="E197" s="16">
        <f t="shared" si="26"/>
        <v>0.47</v>
      </c>
      <c r="F197" s="15" t="str">
        <f t="shared" si="27"/>
        <v>0,25; 0,68</v>
      </c>
      <c r="G197" s="15" t="str">
        <f t="shared" si="28"/>
        <v>-0,09; 1,12</v>
      </c>
      <c r="H197" s="14">
        <f t="shared" si="29"/>
        <v>155</v>
      </c>
      <c r="I197" s="15" t="str">
        <f t="shared" si="30"/>
        <v>0,43 ± 0,34</v>
      </c>
      <c r="J197" s="15" t="str">
        <f t="shared" si="31"/>
        <v>0,38; 0,49</v>
      </c>
      <c r="K197" s="16">
        <f t="shared" si="32"/>
        <v>0.42</v>
      </c>
      <c r="L197" s="15" t="str">
        <f t="shared" si="33"/>
        <v>0,22; 0,66</v>
      </c>
      <c r="M197" s="15" t="str">
        <f t="shared" si="34"/>
        <v>-0,15; 1,06</v>
      </c>
      <c r="N197" s="15">
        <f t="shared" si="35"/>
        <v>0.323648116578059</v>
      </c>
      <c r="O197" s="21"/>
      <c r="P197" s="21"/>
      <c r="Q197" s="21"/>
      <c r="R197" s="21"/>
    </row>
    <row r="198" ht="14" spans="1:18">
      <c r="A198" s="2" t="s">
        <v>754</v>
      </c>
      <c r="B198" s="14">
        <f t="shared" si="24"/>
        <v>156</v>
      </c>
      <c r="C198" s="15" t="str">
        <f t="shared" si="25"/>
        <v>3,55 ± 6,11</v>
      </c>
      <c r="D198" s="15" t="e">
        <f>CONCATENATE(ROUND(VLOOKUP($A198,$A$2:$V$110,5,FALSE),2),"; ",ROUND(VLOOKUP($A$116,$A90:$V$110,6,FALSE),2))</f>
        <v>#N/A</v>
      </c>
      <c r="E198" s="16">
        <f t="shared" si="26"/>
        <v>2</v>
      </c>
      <c r="F198" s="15" t="str">
        <f t="shared" si="27"/>
        <v>1,28; 3,43</v>
      </c>
      <c r="G198" s="15" t="str">
        <f t="shared" si="28"/>
        <v>0,33; 16,04</v>
      </c>
      <c r="H198" s="14">
        <f t="shared" si="29"/>
        <v>155</v>
      </c>
      <c r="I198" s="15" t="str">
        <f t="shared" si="30"/>
        <v>2,63 ± 2,43</v>
      </c>
      <c r="J198" s="15" t="str">
        <f t="shared" si="31"/>
        <v>2,25; 3,01</v>
      </c>
      <c r="K198" s="16">
        <f t="shared" si="32"/>
        <v>1.8</v>
      </c>
      <c r="L198" s="15" t="str">
        <f t="shared" si="33"/>
        <v>0,9; 3,48</v>
      </c>
      <c r="M198" s="15" t="str">
        <f t="shared" si="34"/>
        <v>0,43; 9,41</v>
      </c>
      <c r="N198" s="15">
        <f t="shared" si="35"/>
        <v>0.222530543284614</v>
      </c>
      <c r="O198" s="21">
        <v>0.0309900703816763</v>
      </c>
      <c r="P198" s="21">
        <v>0.067051153985066</v>
      </c>
      <c r="Q198" s="21">
        <v>0.0593224835027485</v>
      </c>
      <c r="R198" s="21">
        <v>0.0544319295972764</v>
      </c>
    </row>
    <row r="199" ht="14" spans="1:18">
      <c r="A199" s="2" t="s">
        <v>759</v>
      </c>
      <c r="B199" s="14">
        <f t="shared" si="24"/>
        <v>156</v>
      </c>
      <c r="C199" s="15" t="str">
        <f t="shared" si="25"/>
        <v>90,08 ± 24,71</v>
      </c>
      <c r="D199" s="15" t="e">
        <f>CONCATENATE(ROUND(VLOOKUP($A199,$A$2:$V$110,5,FALSE),2),"; ",ROUND(VLOOKUP($A$116,$A91:$V$110,6,FALSE),2))</f>
        <v>#N/A</v>
      </c>
      <c r="E199" s="16">
        <f t="shared" si="26"/>
        <v>86</v>
      </c>
      <c r="F199" s="15" t="str">
        <f t="shared" si="27"/>
        <v>81; 92,25</v>
      </c>
      <c r="G199" s="15" t="str">
        <f t="shared" si="28"/>
        <v>73,75; 133</v>
      </c>
      <c r="H199" s="14">
        <f t="shared" si="29"/>
        <v>155</v>
      </c>
      <c r="I199" s="15" t="str">
        <f t="shared" si="30"/>
        <v>88,48 ± 23,48</v>
      </c>
      <c r="J199" s="15" t="str">
        <f t="shared" si="31"/>
        <v>84,78; 92,17</v>
      </c>
      <c r="K199" s="16">
        <f t="shared" si="32"/>
        <v>85</v>
      </c>
      <c r="L199" s="15" t="str">
        <f t="shared" si="33"/>
        <v>80; 91</v>
      </c>
      <c r="M199" s="15" t="str">
        <f t="shared" si="34"/>
        <v>73; 113,6</v>
      </c>
      <c r="N199" s="15">
        <f t="shared" si="35"/>
        <v>0.173809448032495</v>
      </c>
      <c r="O199" s="21">
        <v>0.570533517119021</v>
      </c>
      <c r="P199" s="21">
        <v>0.221864962079489</v>
      </c>
      <c r="Q199" s="21">
        <v>0.171458601839437</v>
      </c>
      <c r="R199" s="21">
        <v>0.164485188529701</v>
      </c>
    </row>
    <row r="200" ht="14" spans="1:18">
      <c r="A200" s="2" t="s">
        <v>764</v>
      </c>
      <c r="B200" s="14">
        <f t="shared" si="24"/>
        <v>156</v>
      </c>
      <c r="C200" s="15" t="str">
        <f t="shared" si="25"/>
        <v>13,5 ± 8,38</v>
      </c>
      <c r="D200" s="15" t="e">
        <f>CONCATENATE(ROUND(VLOOKUP($A200,$A$2:$V$110,5,FALSE),2),"; ",ROUND(VLOOKUP($A$116,$A92:$V$110,6,FALSE),2))</f>
        <v>#N/A</v>
      </c>
      <c r="E200" s="16">
        <f t="shared" si="26"/>
        <v>11.52</v>
      </c>
      <c r="F200" s="15" t="str">
        <f t="shared" si="27"/>
        <v>7,64; 17,63</v>
      </c>
      <c r="G200" s="15" t="str">
        <f t="shared" si="28"/>
        <v>3,86; 33,58</v>
      </c>
      <c r="H200" s="14">
        <f t="shared" si="29"/>
        <v>155</v>
      </c>
      <c r="I200" s="15" t="str">
        <f t="shared" si="30"/>
        <v>12,63 ± 8,27</v>
      </c>
      <c r="J200" s="15" t="str">
        <f t="shared" si="31"/>
        <v>11,32; 13,93</v>
      </c>
      <c r="K200" s="16">
        <f t="shared" si="32"/>
        <v>10.17</v>
      </c>
      <c r="L200" s="15" t="str">
        <f t="shared" si="33"/>
        <v>7,46; 15,67</v>
      </c>
      <c r="M200" s="15" t="str">
        <f t="shared" si="34"/>
        <v>3,28; 33,91</v>
      </c>
      <c r="N200" s="15">
        <f t="shared" si="35"/>
        <v>0.174963228773402</v>
      </c>
      <c r="O200" s="21">
        <v>0.0846561592868237</v>
      </c>
      <c r="P200" s="21">
        <v>0.166938536191</v>
      </c>
      <c r="Q200" s="21">
        <v>0.128244518523812</v>
      </c>
      <c r="R200" s="21">
        <v>0.130497179372485</v>
      </c>
    </row>
    <row r="201" ht="14" spans="1:18">
      <c r="A201" s="2" t="s">
        <v>769</v>
      </c>
      <c r="B201" s="14">
        <f t="shared" si="24"/>
        <v>156</v>
      </c>
      <c r="C201" s="15" t="str">
        <f t="shared" si="25"/>
        <v>5,54 ± 0,75</v>
      </c>
      <c r="D201" s="15" t="e">
        <f>CONCATENATE(ROUND(VLOOKUP($A201,$A$2:$V$110,5,FALSE),2),"; ",ROUND(VLOOKUP($A$116,$A93:$V$110,6,FALSE),2))</f>
        <v>#N/A</v>
      </c>
      <c r="E201" s="16">
        <f t="shared" si="26"/>
        <v>5.47</v>
      </c>
      <c r="F201" s="15" t="str">
        <f t="shared" si="27"/>
        <v>5,22; 5,7</v>
      </c>
      <c r="G201" s="15" t="str">
        <f t="shared" si="28"/>
        <v>4,8; 6,71</v>
      </c>
      <c r="H201" s="14">
        <f t="shared" si="29"/>
        <v>155</v>
      </c>
      <c r="I201" s="15" t="str">
        <f t="shared" si="30"/>
        <v>5,58 ± 0,59</v>
      </c>
      <c r="J201" s="15" t="str">
        <f t="shared" si="31"/>
        <v>5,48; 5,67</v>
      </c>
      <c r="K201" s="16">
        <f t="shared" si="32"/>
        <v>5.5</v>
      </c>
      <c r="L201" s="15" t="str">
        <f t="shared" si="33"/>
        <v>5,2; 5,8</v>
      </c>
      <c r="M201" s="15" t="str">
        <f t="shared" si="34"/>
        <v>4,9; 6,82</v>
      </c>
      <c r="N201" s="15">
        <f t="shared" si="35"/>
        <v>0.22101356782231</v>
      </c>
      <c r="O201" s="21">
        <v>0.844522697260222</v>
      </c>
      <c r="P201" s="21">
        <v>0.649878605754936</v>
      </c>
      <c r="Q201" s="21">
        <v>0.564534289003122</v>
      </c>
      <c r="R201" s="21">
        <v>0.553924590545117</v>
      </c>
    </row>
    <row r="202" ht="14" hidden="1" spans="1:18">
      <c r="A202" s="2" t="s">
        <v>408</v>
      </c>
      <c r="B202" s="14">
        <f t="shared" si="24"/>
        <v>156</v>
      </c>
      <c r="C202" s="15" t="str">
        <f t="shared" si="25"/>
        <v>234,9 ± 323,06</v>
      </c>
      <c r="D202" s="15" t="e">
        <f>CONCATENATE(ROUND(VLOOKUP($A202,$A$2:$V$110,5,FALSE),2),"; ",ROUND(VLOOKUP($A$116,$A94:$V$110,6,FALSE),2))</f>
        <v>#N/A</v>
      </c>
      <c r="E202" s="16">
        <f t="shared" si="26"/>
        <v>184.23</v>
      </c>
      <c r="F202" s="15" t="str">
        <f t="shared" si="27"/>
        <v>119,97; 262,67</v>
      </c>
      <c r="G202" s="15" t="str">
        <f t="shared" si="28"/>
        <v>49,14; 579,86</v>
      </c>
      <c r="H202" s="14">
        <f t="shared" si="29"/>
        <v>155</v>
      </c>
      <c r="I202" s="15" t="str">
        <f t="shared" si="30"/>
        <v>235,34 ± 298,63</v>
      </c>
      <c r="J202" s="15" t="str">
        <f t="shared" si="31"/>
        <v>188,33; 282,36</v>
      </c>
      <c r="K202" s="16">
        <f t="shared" si="32"/>
        <v>177.66</v>
      </c>
      <c r="L202" s="15" t="str">
        <f t="shared" si="33"/>
        <v>115,75; 258,97</v>
      </c>
      <c r="M202" s="15" t="str">
        <f t="shared" si="34"/>
        <v>42,59; 647,31</v>
      </c>
      <c r="N202" s="15">
        <f t="shared" si="35"/>
        <v>0.744408307731106</v>
      </c>
      <c r="O202" s="21"/>
      <c r="P202" s="21"/>
      <c r="Q202" s="21"/>
      <c r="R202" s="21"/>
    </row>
    <row r="203" ht="14" hidden="1" spans="1:18">
      <c r="A203" s="2" t="s">
        <v>415</v>
      </c>
      <c r="B203" s="14">
        <f t="shared" si="24"/>
        <v>156</v>
      </c>
      <c r="C203" s="15" t="str">
        <f t="shared" si="25"/>
        <v>47,73 ± 29,62</v>
      </c>
      <c r="D203" s="15" t="e">
        <f>CONCATENATE(ROUND(VLOOKUP($A203,$A$2:$V$110,5,FALSE),2),"; ",ROUND(VLOOKUP($A$116,$A95:$V$110,6,FALSE),2))</f>
        <v>#N/A</v>
      </c>
      <c r="E203" s="16">
        <f t="shared" si="26"/>
        <v>42.75</v>
      </c>
      <c r="F203" s="15" t="str">
        <f t="shared" si="27"/>
        <v>26,11; 62,08</v>
      </c>
      <c r="G203" s="15" t="str">
        <f t="shared" si="28"/>
        <v>13,29; 131,65</v>
      </c>
      <c r="H203" s="14">
        <f t="shared" si="29"/>
        <v>155</v>
      </c>
      <c r="I203" s="15" t="str">
        <f t="shared" si="30"/>
        <v>54,77 ± 38,5</v>
      </c>
      <c r="J203" s="15" t="str">
        <f t="shared" si="31"/>
        <v>48,71; 60,83</v>
      </c>
      <c r="K203" s="16">
        <f t="shared" si="32"/>
        <v>48.21</v>
      </c>
      <c r="L203" s="15" t="str">
        <f t="shared" si="33"/>
        <v>28,22; 63,64</v>
      </c>
      <c r="M203" s="15" t="str">
        <f t="shared" si="34"/>
        <v>10,6; 156,19</v>
      </c>
      <c r="N203" s="15">
        <f t="shared" si="35"/>
        <v>0.128256695616639</v>
      </c>
      <c r="O203" s="21"/>
      <c r="P203" s="21"/>
      <c r="Q203" s="21"/>
      <c r="R203" s="21"/>
    </row>
    <row r="204" ht="14" spans="1:18">
      <c r="A204" s="2" t="s">
        <v>74</v>
      </c>
      <c r="B204" s="14">
        <f t="shared" si="24"/>
        <v>156</v>
      </c>
      <c r="C204" s="15" t="str">
        <f t="shared" si="25"/>
        <v>3,22 ± 4,03</v>
      </c>
      <c r="D204" s="15" t="e">
        <f>CONCATENATE(ROUND(VLOOKUP($A204,$A$2:$V$110,5,FALSE),2),"; ",ROUND(VLOOKUP($A$116,$A96:$V$110,6,FALSE),2))</f>
        <v>#N/A</v>
      </c>
      <c r="E204" s="16">
        <f t="shared" si="26"/>
        <v>2.34</v>
      </c>
      <c r="F204" s="15" t="str">
        <f t="shared" si="27"/>
        <v>1,61; 3,83</v>
      </c>
      <c r="G204" s="15" t="str">
        <f t="shared" si="28"/>
        <v>0,76; 7,53</v>
      </c>
      <c r="H204" s="14">
        <f t="shared" si="29"/>
        <v>155</v>
      </c>
      <c r="I204" s="15" t="str">
        <f t="shared" si="30"/>
        <v>2,83 ± 2,15</v>
      </c>
      <c r="J204" s="15" t="str">
        <f t="shared" si="31"/>
        <v>2,49; 3,17</v>
      </c>
      <c r="K204" s="16">
        <f t="shared" si="32"/>
        <v>2.07</v>
      </c>
      <c r="L204" s="15" t="str">
        <f t="shared" si="33"/>
        <v>1,57; 3,55</v>
      </c>
      <c r="M204" s="15" t="str">
        <f t="shared" si="34"/>
        <v>0,64; 9,45</v>
      </c>
      <c r="N204" s="15">
        <f t="shared" si="35"/>
        <v>0.129204584884442</v>
      </c>
      <c r="O204" s="21">
        <v>0.0849157320550605</v>
      </c>
      <c r="P204" s="21">
        <v>0.127660619187003</v>
      </c>
      <c r="Q204" s="21">
        <v>0.0908751101248857</v>
      </c>
      <c r="R204" s="21">
        <v>0.0889475125376911</v>
      </c>
    </row>
    <row r="205" ht="14" spans="1:18">
      <c r="A205" s="2" t="s">
        <v>428</v>
      </c>
      <c r="B205" s="14">
        <f t="shared" si="24"/>
        <v>156</v>
      </c>
      <c r="C205" s="15" t="str">
        <f t="shared" si="25"/>
        <v>0,33 ± 0,03</v>
      </c>
      <c r="D205" s="15" t="e">
        <f>CONCATENATE(ROUND(VLOOKUP($A205,$A$2:$V$110,5,FALSE),2),"; ",ROUND(VLOOKUP($A$116,$A97:$V$110,6,FALSE),2))</f>
        <v>#N/A</v>
      </c>
      <c r="E205" s="16">
        <f t="shared" si="26"/>
        <v>0.34</v>
      </c>
      <c r="F205" s="15" t="str">
        <f t="shared" si="27"/>
        <v>0,31; 0,35</v>
      </c>
      <c r="G205" s="15" t="str">
        <f t="shared" si="28"/>
        <v>0,29; 0,4</v>
      </c>
      <c r="H205" s="14">
        <f t="shared" si="29"/>
        <v>155</v>
      </c>
      <c r="I205" s="15" t="str">
        <f t="shared" si="30"/>
        <v>0,34 ± 0,03</v>
      </c>
      <c r="J205" s="15" t="str">
        <f t="shared" si="31"/>
        <v>0,34; 0,35</v>
      </c>
      <c r="K205" s="16">
        <f t="shared" si="32"/>
        <v>0.34</v>
      </c>
      <c r="L205" s="15" t="str">
        <f t="shared" si="33"/>
        <v>0,32; 0,36</v>
      </c>
      <c r="M205" s="15" t="str">
        <f t="shared" si="34"/>
        <v>0,28; 0,41</v>
      </c>
      <c r="N205" s="15">
        <f t="shared" si="35"/>
        <v>0.100719539086469</v>
      </c>
      <c r="O205" s="21"/>
      <c r="P205" s="21"/>
      <c r="Q205" s="21"/>
      <c r="R205" s="21"/>
    </row>
    <row r="206" ht="14" spans="1:18">
      <c r="A206" s="2" t="s">
        <v>790</v>
      </c>
      <c r="B206" s="14">
        <f t="shared" si="24"/>
        <v>156</v>
      </c>
      <c r="C206" s="15" t="str">
        <f t="shared" si="25"/>
        <v>122,5 ± 17,45</v>
      </c>
      <c r="D206" s="15" t="e">
        <f>CONCATENATE(ROUND(VLOOKUP($A206,$A$2:$V$110,5,FALSE),2),"; ",ROUND(VLOOKUP($A$116,$A98:$V$110,6,FALSE),2))</f>
        <v>#N/A</v>
      </c>
      <c r="E206" s="16">
        <f t="shared" si="26"/>
        <v>121</v>
      </c>
      <c r="F206" s="15" t="str">
        <f t="shared" si="27"/>
        <v>109; 134</v>
      </c>
      <c r="G206" s="15" t="str">
        <f t="shared" si="28"/>
        <v>94,88; 160</v>
      </c>
      <c r="H206" s="14">
        <f t="shared" si="29"/>
        <v>154</v>
      </c>
      <c r="I206" s="15" t="str">
        <f t="shared" si="30"/>
        <v>125,31 ± 20,19</v>
      </c>
      <c r="J206" s="15" t="str">
        <f t="shared" si="31"/>
        <v>122,12; 128,5</v>
      </c>
      <c r="K206" s="16">
        <f t="shared" si="32"/>
        <v>123.5</v>
      </c>
      <c r="L206" s="15" t="str">
        <f t="shared" si="33"/>
        <v>112,25; 135</v>
      </c>
      <c r="M206" s="15" t="str">
        <f t="shared" si="34"/>
        <v>93,83; 169,7</v>
      </c>
      <c r="N206" s="15">
        <f t="shared" si="35"/>
        <v>0.32967824842341</v>
      </c>
      <c r="O206" s="21">
        <v>0.380813732079838</v>
      </c>
      <c r="P206" s="21">
        <v>0.784397937675051</v>
      </c>
      <c r="Q206" s="21">
        <v>0.70139941993557</v>
      </c>
      <c r="R206" s="21">
        <v>0.70651542503674</v>
      </c>
    </row>
    <row r="207" ht="14" spans="1:18">
      <c r="A207" s="2" t="s">
        <v>795</v>
      </c>
      <c r="B207" s="14">
        <f t="shared" si="24"/>
        <v>156</v>
      </c>
      <c r="C207" s="15" t="str">
        <f t="shared" si="25"/>
        <v>79,13 ± 11,6</v>
      </c>
      <c r="D207" s="15" t="e">
        <f>CONCATENATE(ROUND(VLOOKUP($A207,$A$2:$V$110,5,FALSE),2),"; ",ROUND(VLOOKUP($A$116,$A99:$V$110,6,FALSE),2))</f>
        <v>#N/A</v>
      </c>
      <c r="E207" s="16">
        <f t="shared" si="26"/>
        <v>78</v>
      </c>
      <c r="F207" s="15" t="str">
        <f t="shared" si="27"/>
        <v>70; 87,25</v>
      </c>
      <c r="G207" s="15" t="str">
        <f t="shared" si="28"/>
        <v>59; 103</v>
      </c>
      <c r="H207" s="14">
        <f t="shared" si="29"/>
        <v>155</v>
      </c>
      <c r="I207" s="15" t="str">
        <f t="shared" si="30"/>
        <v>80,74 ± 12,83</v>
      </c>
      <c r="J207" s="15" t="str">
        <f t="shared" si="31"/>
        <v>78,72; 82,76</v>
      </c>
      <c r="K207" s="16">
        <f t="shared" si="32"/>
        <v>80</v>
      </c>
      <c r="L207" s="15" t="str">
        <f t="shared" si="33"/>
        <v>71; 87</v>
      </c>
      <c r="M207" s="15" t="str">
        <f t="shared" si="34"/>
        <v>58,7; 104,3</v>
      </c>
      <c r="N207" s="15">
        <f t="shared" si="35"/>
        <v>0.272627123311822</v>
      </c>
      <c r="O207" s="21">
        <v>0.528223233020475</v>
      </c>
      <c r="P207" s="21">
        <v>0.79226701888683</v>
      </c>
      <c r="Q207" s="21">
        <v>0.723424679165838</v>
      </c>
      <c r="R207" s="21">
        <v>0.708856788018004</v>
      </c>
    </row>
    <row r="208" ht="14" spans="1:18">
      <c r="A208" s="24" t="s">
        <v>592</v>
      </c>
      <c r="B208" s="14"/>
      <c r="C208" s="15"/>
      <c r="D208" s="15"/>
      <c r="E208" s="16"/>
      <c r="F208" s="15"/>
      <c r="G208" s="15"/>
      <c r="H208" s="14"/>
      <c r="I208" s="16"/>
      <c r="J208" s="15"/>
      <c r="K208" s="16"/>
      <c r="L208" s="15"/>
      <c r="M208" s="15"/>
      <c r="N208" s="15"/>
      <c r="O208" s="21"/>
      <c r="P208" s="21"/>
      <c r="Q208" s="21"/>
      <c r="R208" s="21"/>
    </row>
    <row r="209" ht="14" spans="1:18">
      <c r="A209" s="7" t="s">
        <v>593</v>
      </c>
      <c r="B209" s="14">
        <f>VLOOKUP($A209,$A$2:$V$110,2,FALSE)</f>
        <v>151</v>
      </c>
      <c r="C209" s="15" t="str">
        <f>CONCATENATE(ROUND(VLOOKUP($A209,$A$2:$V$110,3,FALSE),2)," ± ",ROUND(VLOOKUP($A209,$A$2:$V$110,4,FALSE),2))</f>
        <v>0,13 ± 0,14</v>
      </c>
      <c r="D209" s="15" t="str">
        <f>CONCATENATE(ROUND(VLOOKUP($A209,$A$2:$V$110,5,FALSE),2),"; ",ROUND(VLOOKUP($A$116,$A$110:$V122,6,FALSE),2))</f>
        <v>0,11; 0</v>
      </c>
      <c r="E209" s="16">
        <f>ROUND(VLOOKUP($A209,$A$2:$V$110,7,FALSE),2)</f>
        <v>0.09</v>
      </c>
      <c r="F209" s="15" t="str">
        <f>CONCATENATE(ROUND(VLOOKUP($A209,$A$2:$V$110,8,FALSE),2),"; ",ROUND(VLOOKUP($A209,$A$2:$V$110,9,FALSE),2))</f>
        <v>0,03; 0,17</v>
      </c>
      <c r="G209" s="15" t="str">
        <f>CONCATENATE(ROUND(VLOOKUP($A209,$A$2:$V$110,10,FALSE),2),"; ",ROUND(VLOOKUP($A209,$A$2:$V$110,11,FALSE),2))</f>
        <v>0; 0,51</v>
      </c>
      <c r="H209" s="14">
        <f>VLOOKUP($A209,$A$2:$V$110,12,FALSE)</f>
        <v>147</v>
      </c>
      <c r="I209" s="16">
        <f>VLOOKUP($A209,$A$2:$V$110,13,FALSE)</f>
        <v>0.128663945578231</v>
      </c>
      <c r="J209" s="15" t="str">
        <f>CONCATENATE(ROUND(VLOOKUP($A209,$A$2:$V$110,15,FALSE),2),"; ",ROUND(VLOOKUP($A209,$A$2:$V$110,16,FALSE),2))</f>
        <v>0,1; 0,16</v>
      </c>
      <c r="K209" s="16">
        <f>VLOOKUP($A209,$A$2:$V$110,17,FALSE)</f>
        <v>0.0844</v>
      </c>
      <c r="L209" s="15" t="str">
        <f>CONCATENATE(ROUND(VLOOKUP($A209,$A$2:$V$110,18,FALSE),2),"; ",ROUND(VLOOKUP($A209,$A$2:$V$110,19,FALSE),2))</f>
        <v>0,03; 0,15</v>
      </c>
      <c r="M209" s="15" t="str">
        <f>CONCATENATE(ROUND(VLOOKUP($A209,$A$2:$V$110,20,FALSE),2),"; ",ROUND(VLOOKUP($A209,$A$2:$V$110,21,FALSE),2))</f>
        <v>0; 0,67</v>
      </c>
      <c r="N209" s="15">
        <f>VLOOKUP($A209,$A$2:$V$110,22,FALSE)</f>
        <v>0.643197863836254</v>
      </c>
      <c r="O209" s="21">
        <v>0.683250635371123</v>
      </c>
      <c r="P209" s="21">
        <v>0.890212652802069</v>
      </c>
      <c r="Q209" s="21">
        <v>0.912933255809572</v>
      </c>
      <c r="R209" s="21">
        <v>0.867311805184066</v>
      </c>
    </row>
    <row r="210" ht="14" spans="1:18">
      <c r="A210" s="7" t="s">
        <v>600</v>
      </c>
      <c r="B210" s="14">
        <f>VLOOKUP($A210,$A$2:$V$110,2,FALSE)</f>
        <v>151</v>
      </c>
      <c r="C210" s="15" t="str">
        <f>CONCATENATE(ROUND(VLOOKUP($A210,$A$2:$V$110,3,FALSE),2)," ± ",ROUND(VLOOKUP($A210,$A$2:$V$110,4,FALSE),2))</f>
        <v>0,26 ± 0,17</v>
      </c>
      <c r="D210" s="15" t="str">
        <f>CONCATENATE(ROUND(VLOOKUP($A210,$A$2:$V$110,5,FALSE),2),"; ",ROUND(VLOOKUP($A$116,$A$110:$V123,6,FALSE),2))</f>
        <v>0,24; 0</v>
      </c>
      <c r="E210" s="16">
        <f>ROUND(VLOOKUP($A210,$A$2:$V$110,7,FALSE),2)</f>
        <v>0.23</v>
      </c>
      <c r="F210" s="15" t="str">
        <f>CONCATENATE(ROUND(VLOOKUP($A210,$A$2:$V$110,8,FALSE),2),"; ",ROUND(VLOOKUP($A210,$A$2:$V$110,9,FALSE),2))</f>
        <v>0,13; 0,38</v>
      </c>
      <c r="G210" s="15" t="str">
        <f>CONCATENATE(ROUND(VLOOKUP($A210,$A$2:$V$110,10,FALSE),2),"; ",ROUND(VLOOKUP($A210,$A$2:$V$110,11,FALSE),2))</f>
        <v>0,04; 0,63</v>
      </c>
      <c r="H210" s="14">
        <f>VLOOKUP($A210,$A$2:$V$110,12,FALSE)</f>
        <v>147</v>
      </c>
      <c r="I210" s="16">
        <f>VLOOKUP($A210,$A$2:$V$110,13,FALSE)</f>
        <v>0.258462585034014</v>
      </c>
      <c r="J210" s="15" t="str">
        <f>CONCATENATE(ROUND(VLOOKUP($A210,$A$2:$V$110,15,FALSE),2),"; ",ROUND(VLOOKUP($A210,$A$2:$V$110,16,FALSE),2))</f>
        <v>0,23; 0,29</v>
      </c>
      <c r="K210" s="16">
        <f>VLOOKUP($A210,$A$2:$V$110,17,FALSE)</f>
        <v>0.2135</v>
      </c>
      <c r="L210" s="15" t="str">
        <f>CONCATENATE(ROUND(VLOOKUP($A210,$A$2:$V$110,18,FALSE),2),"; ",ROUND(VLOOKUP($A210,$A$2:$V$110,19,FALSE),2))</f>
        <v>0,12; 0,37</v>
      </c>
      <c r="M210" s="15" t="str">
        <f>CONCATENATE(ROUND(VLOOKUP($A210,$A$2:$V$110,20,FALSE),2),"; ",ROUND(VLOOKUP($A210,$A$2:$V$110,21,FALSE),2))</f>
        <v>0,03; 0,65</v>
      </c>
      <c r="N210" s="15">
        <f>VLOOKUP($A210,$A$2:$V$110,22,FALSE)</f>
        <v>0.653350687593786</v>
      </c>
      <c r="O210" s="21">
        <v>0.885962025142087</v>
      </c>
      <c r="P210" s="21">
        <v>0.70978671675422</v>
      </c>
      <c r="Q210" s="21">
        <v>0.673280652624164</v>
      </c>
      <c r="R210" s="21">
        <v>0.657826197813045</v>
      </c>
    </row>
    <row r="211" ht="14" spans="1:18">
      <c r="A211" s="8" t="s">
        <v>607</v>
      </c>
      <c r="B211" s="14">
        <f>VLOOKUP($A211,$A$2:$V$110,2,FALSE)</f>
        <v>151</v>
      </c>
      <c r="C211" s="15" t="str">
        <f>CONCATENATE(ROUND(VLOOKUP($A211,$A$2:$V$110,3,FALSE),2)," ± ",ROUND(VLOOKUP($A211,$A$2:$V$110,4,FALSE),2))</f>
        <v>0,14 ± 0,18</v>
      </c>
      <c r="D211" s="15" t="str">
        <f>CONCATENATE(ROUND(VLOOKUP($A211,$A$2:$V$110,5,FALSE),2),"; ",ROUND(VLOOKUP($A$116,$A$110:$V124,6,FALSE),2))</f>
        <v>0,11; 0</v>
      </c>
      <c r="E211" s="16">
        <f>ROUND(VLOOKUP($A211,$A$2:$V$110,7,FALSE),2)</f>
        <v>0.06</v>
      </c>
      <c r="F211" s="15" t="str">
        <f>CONCATENATE(ROUND(VLOOKUP($A211,$A$2:$V$110,8,FALSE),2),"; ",ROUND(VLOOKUP($A211,$A$2:$V$110,9,FALSE),2))</f>
        <v>0,02; 0,17</v>
      </c>
      <c r="G211" s="15" t="str">
        <f>CONCATENATE(ROUND(VLOOKUP($A211,$A$2:$V$110,10,FALSE),2),"; ",ROUND(VLOOKUP($A211,$A$2:$V$110,11,FALSE),2))</f>
        <v>0; 0,57</v>
      </c>
      <c r="H211" s="14">
        <f>VLOOKUP($A211,$A$2:$V$110,12,FALSE)</f>
        <v>147</v>
      </c>
      <c r="I211" s="16">
        <f>VLOOKUP($A211,$A$2:$V$110,13,FALSE)</f>
        <v>0.141562585034014</v>
      </c>
      <c r="J211" s="15" t="str">
        <f>CONCATENATE(ROUND(VLOOKUP($A211,$A$2:$V$110,15,FALSE),2),"; ",ROUND(VLOOKUP($A211,$A$2:$V$110,16,FALSE),2))</f>
        <v>0,11; 0,17</v>
      </c>
      <c r="K211" s="16">
        <f>VLOOKUP($A211,$A$2:$V$110,17,FALSE)</f>
        <v>0.0641</v>
      </c>
      <c r="L211" s="15" t="str">
        <f>CONCATENATE(ROUND(VLOOKUP($A211,$A$2:$V$110,18,FALSE),2),"; ",ROUND(VLOOKUP($A211,$A$2:$V$110,19,FALSE),2))</f>
        <v>0,02; 0,18</v>
      </c>
      <c r="M211" s="15" t="str">
        <f>CONCATENATE(ROUND(VLOOKUP($A211,$A$2:$V$110,20,FALSE),2),"; ",ROUND(VLOOKUP($A211,$A$2:$V$110,21,FALSE),2))</f>
        <v>0; 0,72</v>
      </c>
      <c r="N211" s="15">
        <f>VLOOKUP($A211,$A$2:$V$110,22,FALSE)</f>
        <v>0.690618189779798</v>
      </c>
      <c r="O211" s="21">
        <v>0.885962025142087</v>
      </c>
      <c r="P211" s="21">
        <v>0.836686512569781</v>
      </c>
      <c r="Q211" s="21">
        <v>0.871319865078101</v>
      </c>
      <c r="R211" s="21">
        <v>0.866182410887325</v>
      </c>
    </row>
    <row r="212" ht="14" spans="1:18">
      <c r="A212" s="8" t="s">
        <v>615</v>
      </c>
      <c r="B212" s="14">
        <f>VLOOKUP($A212,$A$2:$V$110,2,FALSE)</f>
        <v>151</v>
      </c>
      <c r="C212" s="15" t="str">
        <f>CONCATENATE(ROUND(VLOOKUP($A212,$A$2:$V$110,3,FALSE),2)," ± ",ROUND(VLOOKUP($A212,$A$2:$V$110,4,FALSE),2))</f>
        <v>0,17 ± 0,2</v>
      </c>
      <c r="D212" s="15" t="str">
        <f>CONCATENATE(ROUND(VLOOKUP($A212,$A$2:$V$110,5,FALSE),2),"; ",ROUND(VLOOKUP($A$116,$A$110:$V125,6,FALSE),2))</f>
        <v>0,14; 0</v>
      </c>
      <c r="E212" s="16">
        <f>ROUND(VLOOKUP($A212,$A$2:$V$110,7,FALSE),2)</f>
        <v>0.09</v>
      </c>
      <c r="F212" s="15" t="str">
        <f>CONCATENATE(ROUND(VLOOKUP($A212,$A$2:$V$110,8,FALSE),2),"; ",ROUND(VLOOKUP($A212,$A$2:$V$110,9,FALSE),2))</f>
        <v>0,03; 0,22</v>
      </c>
      <c r="G212" s="15" t="str">
        <f>CONCATENATE(ROUND(VLOOKUP($A212,$A$2:$V$110,10,FALSE),2),"; ",ROUND(VLOOKUP($A212,$A$2:$V$110,11,FALSE),2))</f>
        <v>0; 0,69</v>
      </c>
      <c r="H212" s="14">
        <f>VLOOKUP($A212,$A$2:$V$110,12,FALSE)</f>
        <v>147</v>
      </c>
      <c r="I212" s="16">
        <f>VLOOKUP($A212,$A$2:$V$110,13,FALSE)</f>
        <v>0.15289387755102</v>
      </c>
      <c r="J212" s="15" t="str">
        <f>CONCATENATE(ROUND(VLOOKUP($A212,$A$2:$V$110,15,FALSE),2),"; ",ROUND(VLOOKUP($A212,$A$2:$V$110,16,FALSE),2))</f>
        <v>0,13; 0,18</v>
      </c>
      <c r="K212" s="16">
        <f>VLOOKUP($A212,$A$2:$V$110,17,FALSE)</f>
        <v>0.0957</v>
      </c>
      <c r="L212" s="15" t="str">
        <f>CONCATENATE(ROUND(VLOOKUP($A212,$A$2:$V$110,18,FALSE),2),"; ",ROUND(VLOOKUP($A212,$A$2:$V$110,19,FALSE),2))</f>
        <v>0,04; 0,21</v>
      </c>
      <c r="M212" s="15" t="str">
        <f>CONCATENATE(ROUND(VLOOKUP($A212,$A$2:$V$110,20,FALSE),2),"; ",ROUND(VLOOKUP($A212,$A$2:$V$110,21,FALSE),2))</f>
        <v>0,01; 0,56</v>
      </c>
      <c r="N212" s="15">
        <f>VLOOKUP($A212,$A$2:$V$110,22,FALSE)</f>
        <v>0.980153883869394</v>
      </c>
      <c r="O212" s="21">
        <v>0.994299428377451</v>
      </c>
      <c r="P212" s="21">
        <v>0.890212652802069</v>
      </c>
      <c r="Q212" s="21">
        <v>0.871319865078101</v>
      </c>
      <c r="R212" s="21">
        <v>0.866182410887325</v>
      </c>
    </row>
    <row r="213" ht="14.75" spans="1:18">
      <c r="A213" s="9" t="s">
        <v>622</v>
      </c>
      <c r="B213" s="25">
        <f>VLOOKUP($A213,$A$2:$V$110,2,FALSE)</f>
        <v>151</v>
      </c>
      <c r="C213" s="25" t="str">
        <f>CONCATENATE(ROUND(VLOOKUP($A213,$A$2:$V$110,3,FALSE),2)," ± ",ROUND(VLOOKUP($A213,$A$2:$V$110,4,FALSE),2))</f>
        <v>0,11 ± 0,11</v>
      </c>
      <c r="D213" s="26" t="str">
        <f>CONCATENATE(ROUND(VLOOKUP($A213,$A$2:$V$110,5,FALSE),2),"; ",ROUND(VLOOKUP($A$116,$A$110:$V126,6,FALSE),2))</f>
        <v>0,1; 0</v>
      </c>
      <c r="E213" s="26">
        <f>ROUND(VLOOKUP($A213,$A$2:$V$110,7,FALSE),2)</f>
        <v>0.09</v>
      </c>
      <c r="F213" s="26" t="str">
        <f>CONCATENATE(ROUND(VLOOKUP($A213,$A$2:$V$110,8,FALSE),2),"; ",ROUND(VLOOKUP($A213,$A$2:$V$110,9,FALSE),2))</f>
        <v>0,02; 0,16</v>
      </c>
      <c r="G213" s="26" t="str">
        <f>CONCATENATE(ROUND(VLOOKUP($A213,$A$2:$V$110,10,FALSE),2),"; ",ROUND(VLOOKUP($A213,$A$2:$V$110,11,FALSE),2))</f>
        <v>0; 0,39</v>
      </c>
      <c r="H213" s="25">
        <f>VLOOKUP($A213,$A$2:$V$110,12,FALSE)</f>
        <v>147</v>
      </c>
      <c r="I213" s="25">
        <f>VLOOKUP($A213,$A$2:$V$110,13,FALSE)</f>
        <v>0.116223129251701</v>
      </c>
      <c r="J213" s="27" t="str">
        <f>CONCATENATE(ROUND(VLOOKUP($A213,$A$2:$V$110,15,FALSE),2),"; ",ROUND(VLOOKUP($A213,$A$2:$V$110,16,FALSE),2))</f>
        <v>0,1; 0,13</v>
      </c>
      <c r="K213" s="26">
        <f>VLOOKUP($A213,$A$2:$V$110,17,FALSE)</f>
        <v>0.0928</v>
      </c>
      <c r="L213" s="27" t="str">
        <f>CONCATENATE(ROUND(VLOOKUP($A213,$A$2:$V$110,18,FALSE),2),"; ",ROUND(VLOOKUP($A213,$A$2:$V$110,19,FALSE),2))</f>
        <v>0,03; 0,18</v>
      </c>
      <c r="M213" s="26" t="str">
        <f>CONCATENATE(ROUND(VLOOKUP($A213,$A$2:$V$110,20,FALSE),2),"; ",ROUND(VLOOKUP($A213,$A$2:$V$110,21,FALSE),2))</f>
        <v>0; 0,35</v>
      </c>
      <c r="N213" s="26">
        <f>VLOOKUP($A213,$A$2:$V$110,22,FALSE)</f>
        <v>0.484416040637814</v>
      </c>
      <c r="O213" s="26">
        <v>0.315386202297923</v>
      </c>
      <c r="P213" s="26">
        <v>0.336967254144751</v>
      </c>
      <c r="Q213" s="26">
        <v>0.276262917468385</v>
      </c>
      <c r="R213" s="26">
        <v>0.258216062259413</v>
      </c>
    </row>
  </sheetData>
  <mergeCells count="14">
    <mergeCell ref="B114:G114"/>
    <mergeCell ref="H114:M114"/>
    <mergeCell ref="B178:G178"/>
    <mergeCell ref="H178:M178"/>
    <mergeCell ref="A114:A115"/>
    <mergeCell ref="A178:A179"/>
    <mergeCell ref="O114:O115"/>
    <mergeCell ref="O178:O179"/>
    <mergeCell ref="P114:P115"/>
    <mergeCell ref="P178:P179"/>
    <mergeCell ref="Q114:Q115"/>
    <mergeCell ref="Q178:Q179"/>
    <mergeCell ref="R114:R115"/>
    <mergeCell ref="R178:R179"/>
  </mergeCells>
  <conditionalFormatting sqref="O114">
    <cfRule type="cellIs" dxfId="1" priority="14" operator="lessThan">
      <formula>0.05</formula>
    </cfRule>
  </conditionalFormatting>
  <conditionalFormatting sqref="P114">
    <cfRule type="cellIs" dxfId="1" priority="13" operator="lessThan">
      <formula>0.05</formula>
    </cfRule>
  </conditionalFormatting>
  <conditionalFormatting sqref="Q114">
    <cfRule type="cellIs" dxfId="1" priority="12" operator="lessThan">
      <formula>0.05</formula>
    </cfRule>
  </conditionalFormatting>
  <conditionalFormatting sqref="R114">
    <cfRule type="cellIs" dxfId="1" priority="11" operator="lessThan">
      <formula>0.05</formula>
    </cfRule>
  </conditionalFormatting>
  <conditionalFormatting sqref="O178">
    <cfRule type="cellIs" dxfId="1" priority="5" operator="lessThan">
      <formula>0.05</formula>
    </cfRule>
  </conditionalFormatting>
  <conditionalFormatting sqref="P178">
    <cfRule type="cellIs" dxfId="1" priority="4" operator="lessThan">
      <formula>0.05</formula>
    </cfRule>
  </conditionalFormatting>
  <conditionalFormatting sqref="Q178">
    <cfRule type="cellIs" dxfId="1" priority="3" operator="lessThan">
      <formula>0.05</formula>
    </cfRule>
  </conditionalFormatting>
  <conditionalFormatting sqref="R178">
    <cfRule type="cellIs" dxfId="1" priority="2" operator="lessThan">
      <formula>0.05</formula>
    </cfRule>
  </conditionalFormatting>
  <conditionalFormatting sqref="N178:N179">
    <cfRule type="cellIs" dxfId="1" priority="6" operator="lessThan">
      <formula>0.05</formula>
    </cfRule>
  </conditionalFormatting>
  <conditionalFormatting sqref="N114:N115;O180:R213">
    <cfRule type="cellIs" dxfId="1" priority="53" operator="lessThan">
      <formula>0.05</formula>
    </cfRule>
  </conditionalFormatting>
  <conditionalFormatting sqref="O116:R176">
    <cfRule type="cellIs" dxfId="1" priority="7" operator="lessThan">
      <formula>0.05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3 (2)</vt:lpstr>
      <vt:lpstr>Table 4</vt:lpstr>
      <vt:lpstr>Table 4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Jelver Alexander Sierra Restrepo</dc:creator>
  <cp:lastModifiedBy>OSCAR LARA</cp:lastModifiedBy>
  <dcterms:created xsi:type="dcterms:W3CDTF">2024-09-12T18:40:00Z</dcterms:created>
  <dcterms:modified xsi:type="dcterms:W3CDTF">2025-08-15T13:54:02Z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9EFE764F72A646338C6242ED2E4842CA_12</vt:lpwstr>
  </property>
  <property fmtid="{D5CDD505-2E9C-101B-9397-08002B2CF9AE}" pid="3" name="KSOProductBuildVer">
    <vt:lpwstr>2058-12.2.0.21931</vt:lpwstr>
  </property>
</Properties>
</file>